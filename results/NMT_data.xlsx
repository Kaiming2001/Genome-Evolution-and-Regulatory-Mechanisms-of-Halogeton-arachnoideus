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盐生草\工作总结\文章\审稿意见\A1102\"/>
    </mc:Choice>
  </mc:AlternateContent>
  <xr:revisionPtr revIDLastSave="0" documentId="13_ncr:1_{77E19A27-2E4F-459A-8C1A-ED9E1F9DB638}" xr6:coauthVersionLast="47" xr6:coauthVersionMax="47" xr10:uidLastSave="{00000000-0000-0000-0000-000000000000}"/>
  <bookViews>
    <workbookView xWindow="3765" yWindow="2655" windowWidth="22620" windowHeight="11295" xr2:uid="{00000000-000D-0000-FFFF-FFFF00000000}"/>
  </bookViews>
  <sheets>
    <sheet name="Setting" sheetId="3" r:id="rId1"/>
    <sheet name="Leaf" sheetId="1" r:id="rId2"/>
    <sheet name="Root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C49" i="1"/>
  <c r="D49" i="1"/>
  <c r="E49" i="1"/>
  <c r="F49" i="1"/>
  <c r="G49" i="1"/>
  <c r="I49" i="1"/>
  <c r="J49" i="1"/>
  <c r="K49" i="1"/>
  <c r="L49" i="1"/>
  <c r="M49" i="1"/>
  <c r="N49" i="1"/>
  <c r="P49" i="1"/>
  <c r="Q49" i="1"/>
  <c r="R49" i="1"/>
  <c r="S49" i="1"/>
  <c r="T49" i="1"/>
  <c r="U49" i="1"/>
  <c r="W49" i="1"/>
  <c r="X49" i="1"/>
  <c r="Y49" i="1"/>
  <c r="Z49" i="1"/>
  <c r="AA49" i="1"/>
  <c r="AB49" i="1"/>
  <c r="AD49" i="1"/>
  <c r="AE49" i="1"/>
  <c r="AF49" i="1"/>
  <c r="B50" i="1"/>
  <c r="C50" i="1"/>
  <c r="D50" i="1"/>
  <c r="E50" i="1"/>
  <c r="F50" i="1"/>
  <c r="G50" i="1"/>
  <c r="I50" i="1"/>
  <c r="J50" i="1"/>
  <c r="K50" i="1"/>
  <c r="L50" i="1"/>
  <c r="M50" i="1"/>
  <c r="N50" i="1"/>
  <c r="P50" i="1"/>
  <c r="Q50" i="1"/>
  <c r="R50" i="1"/>
  <c r="S50" i="1"/>
  <c r="T50" i="1"/>
  <c r="U50" i="1"/>
  <c r="W50" i="1"/>
  <c r="X50" i="1"/>
  <c r="Y50" i="1"/>
  <c r="Z50" i="1"/>
  <c r="AA50" i="1"/>
  <c r="AB50" i="1"/>
  <c r="AD50" i="1"/>
  <c r="AE50" i="1"/>
  <c r="AF50" i="1"/>
  <c r="AG49" i="1"/>
  <c r="AG50" i="1"/>
  <c r="AI50" i="1"/>
  <c r="AI49" i="1"/>
  <c r="AH50" i="1"/>
  <c r="AH49" i="1"/>
  <c r="AB44" i="2"/>
  <c r="AI45" i="2" l="1"/>
  <c r="AH45" i="2"/>
  <c r="AG45" i="2"/>
  <c r="AF45" i="2"/>
  <c r="AE45" i="2"/>
  <c r="AD45" i="2"/>
  <c r="AI44" i="2"/>
  <c r="AH44" i="2"/>
  <c r="AG44" i="2"/>
  <c r="AF44" i="2"/>
  <c r="AE44" i="2"/>
  <c r="AD44" i="2"/>
  <c r="W44" i="2" l="1"/>
  <c r="W45" i="2"/>
  <c r="AB45" i="2"/>
  <c r="AA45" i="2"/>
  <c r="Z45" i="2"/>
  <c r="Y45" i="2"/>
  <c r="X45" i="2"/>
  <c r="AA44" i="2"/>
  <c r="Z44" i="2"/>
  <c r="Y44" i="2"/>
  <c r="X44" i="2"/>
  <c r="F44" i="2"/>
  <c r="F45" i="2"/>
  <c r="P45" i="2"/>
  <c r="P44" i="2"/>
  <c r="G45" i="2"/>
  <c r="G44" i="2"/>
  <c r="C45" i="2"/>
  <c r="C44" i="2"/>
  <c r="B44" i="2"/>
  <c r="B45" i="2"/>
  <c r="S44" i="2"/>
  <c r="S45" i="2"/>
  <c r="E44" i="2"/>
  <c r="E45" i="2"/>
  <c r="T45" i="2"/>
  <c r="T44" i="2"/>
  <c r="U44" i="2"/>
  <c r="U45" i="2"/>
  <c r="Q45" i="2"/>
  <c r="Q44" i="2"/>
  <c r="R44" i="2"/>
  <c r="R45" i="2"/>
  <c r="D44" i="2"/>
  <c r="D45" i="2"/>
</calcChain>
</file>

<file path=xl/sharedStrings.xml><?xml version="1.0" encoding="utf-8"?>
<sst xmlns="http://schemas.openxmlformats.org/spreadsheetml/2006/main" count="111" uniqueCount="50">
  <si>
    <t>CK-R-2</t>
    <phoneticPr fontId="3" type="noConversion"/>
  </si>
  <si>
    <t>CK-R-3</t>
    <phoneticPr fontId="3" type="noConversion"/>
  </si>
  <si>
    <t>200-24-R-1</t>
    <phoneticPr fontId="3" type="noConversion"/>
  </si>
  <si>
    <t>200-24-R-2</t>
    <phoneticPr fontId="3" type="noConversion"/>
  </si>
  <si>
    <t>200-24-R-3</t>
    <phoneticPr fontId="3" type="noConversion"/>
  </si>
  <si>
    <t>400-6-R-1</t>
    <phoneticPr fontId="3" type="noConversion"/>
  </si>
  <si>
    <t>400-6-R-2</t>
    <phoneticPr fontId="3" type="noConversion"/>
  </si>
  <si>
    <t>400-6-R-3</t>
    <phoneticPr fontId="3" type="noConversion"/>
  </si>
  <si>
    <t>Sample name</t>
  </si>
  <si>
    <t>CK-R-1</t>
    <phoneticPr fontId="3" type="noConversion"/>
  </si>
  <si>
    <t>200-6-R-1</t>
    <phoneticPr fontId="3" type="noConversion"/>
  </si>
  <si>
    <t>200-6-R-2</t>
    <phoneticPr fontId="3" type="noConversion"/>
  </si>
  <si>
    <t>200-6-R-3</t>
    <phoneticPr fontId="3" type="noConversion"/>
  </si>
  <si>
    <t>400-24-R-1</t>
    <phoneticPr fontId="3" type="noConversion"/>
  </si>
  <si>
    <t>400-24-R-2</t>
    <phoneticPr fontId="3" type="noConversion"/>
  </si>
  <si>
    <t>400-24-R-3</t>
    <phoneticPr fontId="3" type="noConversion"/>
  </si>
  <si>
    <t>CK-L-3</t>
  </si>
  <si>
    <t>200-6-L-1</t>
  </si>
  <si>
    <t>200-6-L-2</t>
  </si>
  <si>
    <t>200-6-L-3</t>
  </si>
  <si>
    <t>200-24-L-1</t>
  </si>
  <si>
    <t>200-24-L-2</t>
  </si>
  <si>
    <t>200-24-L-3</t>
  </si>
  <si>
    <t>400-6-L-1</t>
  </si>
  <si>
    <t>400-6-L-2</t>
  </si>
  <si>
    <t>400-6-L-3</t>
  </si>
  <si>
    <t>400-24-L-1</t>
  </si>
  <si>
    <t>400-24-L-2</t>
  </si>
  <si>
    <t>400-24-L-3</t>
  </si>
  <si>
    <t>solution concentration(mM)</t>
  </si>
  <si>
    <t>STD</t>
  </si>
  <si>
    <t>Average</t>
    <phoneticPr fontId="1" type="noConversion"/>
  </si>
  <si>
    <r>
      <t>Na⁺ flux</t>
    </r>
    <r>
      <rPr>
        <sz val="10"/>
        <rFont val="等线"/>
        <family val="1"/>
        <charset val="134"/>
      </rPr>
      <t xml:space="preserve"> </t>
    </r>
    <r>
      <rPr>
        <sz val="10"/>
        <rFont val="Times New Roman"/>
        <family val="1"/>
      </rPr>
      <t>(pmol·cm</t>
    </r>
    <r>
      <rPr>
        <vertAlign val="superscript"/>
        <sz val="10"/>
        <rFont val="Times New Roman"/>
        <family val="1"/>
      </rPr>
      <t>-2</t>
    </r>
    <r>
      <rPr>
        <sz val="10"/>
        <rFont val="Times New Roman"/>
        <family val="1"/>
      </rPr>
      <t>·s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1" type="noConversion"/>
  </si>
  <si>
    <t>Original Na⁺ ion flux data measured by non-invasive micro-test technology (NMT). Values represent Na⁺ fluxes in leaf tissues under different NaCl concentrations (200 mM and 400 mM) and treatment durations (6 h and 24 h).</t>
    <phoneticPr fontId="1" type="noConversion"/>
  </si>
  <si>
    <t>Original Na⁺ ion flux data measured by NMT. Values represent Na⁺ fluxes in root tissues under different NaCl concentrations (200 mM and 400 mM) and treatment durations (6 h and 24 h).</t>
    <phoneticPr fontId="1" type="noConversion"/>
  </si>
  <si>
    <t>CK-L-1</t>
    <phoneticPr fontId="1" type="noConversion"/>
  </si>
  <si>
    <t>CK-L-2-1</t>
    <phoneticPr fontId="1" type="noConversion"/>
  </si>
  <si>
    <t>5.000 mM</t>
    <phoneticPr fontId="3" type="noConversion"/>
  </si>
  <si>
    <t>1.000 mM</t>
    <phoneticPr fontId="3" type="noConversion"/>
  </si>
  <si>
    <t>53.010 mV/decade</t>
    <phoneticPr fontId="3" type="noConversion"/>
  </si>
  <si>
    <t>-81.035mV</t>
    <phoneticPr fontId="3" type="noConversion"/>
  </si>
  <si>
    <t>BLANK</t>
    <phoneticPr fontId="3" type="noConversion"/>
  </si>
  <si>
    <t>X-30</t>
    <phoneticPr fontId="3" type="noConversion"/>
  </si>
  <si>
    <t>Calibration</t>
    <phoneticPr fontId="3" type="noConversion"/>
  </si>
  <si>
    <t>Solution concentration 1</t>
    <phoneticPr fontId="3" type="noConversion"/>
  </si>
  <si>
    <t>Solution concentration 2</t>
    <phoneticPr fontId="1" type="noConversion"/>
  </si>
  <si>
    <t>Slope</t>
    <phoneticPr fontId="3" type="noConversion"/>
  </si>
  <si>
    <t>Intercept</t>
    <phoneticPr fontId="3" type="noConversion"/>
  </si>
  <si>
    <t>Sampling rules</t>
    <phoneticPr fontId="3" type="noConversion"/>
  </si>
  <si>
    <r>
      <t>Channel 1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Na+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</si>
</sst>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等线"/>
      <family val="1"/>
      <charset val="134"/>
    </font>
    <font>
      <vertAlign val="superscript"/>
      <sz val="1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0" xfId="0" applyFont="1"/>
    <xf numFmtId="0" fontId="9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A613-6445-4C75-BC04-3557E3CD1269}">
  <dimension ref="A1:B7"/>
  <sheetViews>
    <sheetView tabSelected="1" workbookViewId="0">
      <selection activeCell="B14" sqref="B14"/>
    </sheetView>
  </sheetViews>
  <sheetFormatPr defaultRowHeight="14.25" x14ac:dyDescent="0.2"/>
  <cols>
    <col min="1" max="1" width="23.875" bestFit="1" customWidth="1"/>
    <col min="2" max="2" width="16.125" customWidth="1"/>
  </cols>
  <sheetData>
    <row r="1" spans="1:2" ht="15" x14ac:dyDescent="0.2">
      <c r="A1" s="14" t="s">
        <v>43</v>
      </c>
      <c r="B1" s="14" t="s">
        <v>49</v>
      </c>
    </row>
    <row r="2" spans="1:2" ht="15" x14ac:dyDescent="0.2">
      <c r="A2" s="14" t="s">
        <v>44</v>
      </c>
      <c r="B2" s="14" t="s">
        <v>37</v>
      </c>
    </row>
    <row r="3" spans="1:2" ht="15" x14ac:dyDescent="0.2">
      <c r="A3" s="14" t="s">
        <v>45</v>
      </c>
      <c r="B3" s="14" t="s">
        <v>38</v>
      </c>
    </row>
    <row r="4" spans="1:2" ht="15" x14ac:dyDescent="0.2">
      <c r="A4" s="14" t="s">
        <v>46</v>
      </c>
      <c r="B4" s="14" t="s">
        <v>39</v>
      </c>
    </row>
    <row r="5" spans="1:2" ht="15" x14ac:dyDescent="0.2">
      <c r="A5" s="14" t="s">
        <v>47</v>
      </c>
      <c r="B5" s="14" t="s">
        <v>40</v>
      </c>
    </row>
    <row r="6" spans="1:2" ht="15" x14ac:dyDescent="0.2">
      <c r="A6" s="14" t="s">
        <v>41</v>
      </c>
      <c r="B6" s="14"/>
    </row>
    <row r="7" spans="1:2" ht="15" x14ac:dyDescent="0.2">
      <c r="A7" s="14" t="s">
        <v>48</v>
      </c>
      <c r="B7" s="14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"/>
  <sheetViews>
    <sheetView zoomScale="80" zoomScaleNormal="80" workbookViewId="0">
      <selection activeCell="AI50" sqref="AI50"/>
    </sheetView>
  </sheetViews>
  <sheetFormatPr defaultRowHeight="15" x14ac:dyDescent="0.2"/>
  <cols>
    <col min="1" max="1" width="10.625" style="3" customWidth="1"/>
    <col min="2" max="29" width="9" style="3"/>
    <col min="30" max="30" width="10.125" style="3" customWidth="1"/>
    <col min="31" max="31" width="9" style="3"/>
    <col min="32" max="32" width="10.25" style="3" customWidth="1"/>
    <col min="33" max="33" width="9" style="3"/>
    <col min="34" max="34" width="10.25" style="3" customWidth="1"/>
    <col min="35" max="16384" width="9" style="3"/>
  </cols>
  <sheetData>
    <row r="1" spans="1:35" x14ac:dyDescent="0.2">
      <c r="A1" s="13" t="s">
        <v>33</v>
      </c>
    </row>
    <row r="2" spans="1:35" x14ac:dyDescent="0.2">
      <c r="A2" s="3" t="s">
        <v>8</v>
      </c>
      <c r="B2" s="4" t="s">
        <v>35</v>
      </c>
      <c r="C2" s="4"/>
      <c r="D2" s="4" t="s">
        <v>36</v>
      </c>
      <c r="E2" s="4"/>
      <c r="F2" s="4" t="s">
        <v>16</v>
      </c>
      <c r="G2" s="4"/>
      <c r="I2" s="4" t="s">
        <v>17</v>
      </c>
      <c r="J2" s="4"/>
      <c r="K2" s="4" t="s">
        <v>18</v>
      </c>
      <c r="L2" s="4"/>
      <c r="M2" s="4" t="s">
        <v>19</v>
      </c>
      <c r="N2" s="4"/>
      <c r="P2" s="4" t="s">
        <v>20</v>
      </c>
      <c r="Q2" s="4"/>
      <c r="R2" s="4" t="s">
        <v>21</v>
      </c>
      <c r="S2" s="4"/>
      <c r="T2" s="4" t="s">
        <v>22</v>
      </c>
      <c r="U2" s="4"/>
      <c r="W2" s="4" t="s">
        <v>23</v>
      </c>
      <c r="X2" s="4"/>
      <c r="Y2" s="4" t="s">
        <v>24</v>
      </c>
      <c r="Z2" s="4"/>
      <c r="AA2" s="4" t="s">
        <v>25</v>
      </c>
      <c r="AB2" s="4"/>
      <c r="AD2" s="4" t="s">
        <v>26</v>
      </c>
      <c r="AE2" s="4"/>
      <c r="AF2" s="5" t="s">
        <v>27</v>
      </c>
      <c r="AG2" s="4"/>
      <c r="AH2" s="4" t="s">
        <v>28</v>
      </c>
      <c r="AI2" s="7"/>
    </row>
    <row r="3" spans="1:35" s="8" customFormat="1" ht="15.75" x14ac:dyDescent="0.2">
      <c r="B3" s="9" t="s">
        <v>29</v>
      </c>
      <c r="C3" s="9" t="s">
        <v>32</v>
      </c>
      <c r="D3" s="9" t="s">
        <v>29</v>
      </c>
      <c r="E3" s="9" t="s">
        <v>32</v>
      </c>
      <c r="F3" s="9" t="s">
        <v>29</v>
      </c>
      <c r="G3" s="9" t="s">
        <v>32</v>
      </c>
      <c r="I3" s="9" t="s">
        <v>29</v>
      </c>
      <c r="J3" s="9" t="s">
        <v>32</v>
      </c>
      <c r="K3" s="9" t="s">
        <v>29</v>
      </c>
      <c r="L3" s="9" t="s">
        <v>32</v>
      </c>
      <c r="M3" s="9" t="s">
        <v>29</v>
      </c>
      <c r="N3" s="9" t="s">
        <v>32</v>
      </c>
      <c r="P3" s="9" t="s">
        <v>29</v>
      </c>
      <c r="Q3" s="9" t="s">
        <v>32</v>
      </c>
      <c r="R3" s="9" t="s">
        <v>29</v>
      </c>
      <c r="S3" s="9" t="s">
        <v>32</v>
      </c>
      <c r="T3" s="10" t="s">
        <v>29</v>
      </c>
      <c r="U3" s="9" t="s">
        <v>32</v>
      </c>
      <c r="V3" s="11"/>
      <c r="W3" s="9" t="s">
        <v>29</v>
      </c>
      <c r="X3" s="9" t="s">
        <v>32</v>
      </c>
      <c r="Y3" s="9" t="s">
        <v>29</v>
      </c>
      <c r="Z3" s="9" t="s">
        <v>32</v>
      </c>
      <c r="AA3" s="9" t="s">
        <v>29</v>
      </c>
      <c r="AB3" s="9" t="s">
        <v>32</v>
      </c>
      <c r="AD3" s="9" t="s">
        <v>29</v>
      </c>
      <c r="AE3" s="9" t="s">
        <v>32</v>
      </c>
      <c r="AF3" s="9" t="s">
        <v>29</v>
      </c>
      <c r="AG3" s="9" t="s">
        <v>32</v>
      </c>
      <c r="AH3" s="9" t="s">
        <v>29</v>
      </c>
      <c r="AI3" s="9" t="s">
        <v>32</v>
      </c>
    </row>
    <row r="4" spans="1:35" x14ac:dyDescent="0.2">
      <c r="B4" s="4">
        <v>1.4370000000000001</v>
      </c>
      <c r="C4" s="4">
        <v>-113.86199999999999</v>
      </c>
      <c r="D4" s="4">
        <v>1.462</v>
      </c>
      <c r="E4" s="4">
        <v>-7.681</v>
      </c>
      <c r="F4" s="4">
        <v>1.4870000000000001</v>
      </c>
      <c r="G4" s="4">
        <v>-221.27</v>
      </c>
      <c r="I4" s="4">
        <v>1.3620000000000001</v>
      </c>
      <c r="J4" s="4">
        <v>164.04400000000001</v>
      </c>
      <c r="K4" s="4">
        <v>1.3540000000000001</v>
      </c>
      <c r="L4" s="4">
        <v>143.626</v>
      </c>
      <c r="M4" s="4">
        <v>1.323</v>
      </c>
      <c r="N4" s="4">
        <v>-156.52799999999999</v>
      </c>
      <c r="P4" s="4">
        <v>1.9</v>
      </c>
      <c r="Q4" s="4">
        <v>849.95799999999997</v>
      </c>
      <c r="R4" s="4">
        <v>1.758</v>
      </c>
      <c r="S4" s="4">
        <v>118.45099999999999</v>
      </c>
      <c r="T4" s="4">
        <v>1.7809999999999999</v>
      </c>
      <c r="U4" s="4">
        <v>704.90800000000002</v>
      </c>
      <c r="W4" s="4">
        <v>1.7969999999999999</v>
      </c>
      <c r="X4" s="4">
        <v>-187.71299999999999</v>
      </c>
      <c r="Y4" s="4">
        <v>1.778</v>
      </c>
      <c r="Z4" s="4">
        <v>339.32299999999998</v>
      </c>
      <c r="AA4" s="4">
        <v>1.208</v>
      </c>
      <c r="AB4" s="4">
        <v>44.429000000000002</v>
      </c>
      <c r="AD4" s="4">
        <v>1.518</v>
      </c>
      <c r="AE4" s="4">
        <v>796.72500000000002</v>
      </c>
      <c r="AF4" s="5">
        <v>1.512</v>
      </c>
      <c r="AG4" s="4">
        <v>305.95800000000003</v>
      </c>
      <c r="AH4" s="4">
        <v>1.534</v>
      </c>
      <c r="AI4" s="1">
        <v>387.19499999999999</v>
      </c>
    </row>
    <row r="5" spans="1:35" x14ac:dyDescent="0.2">
      <c r="B5" s="4">
        <v>1.4379999999999999</v>
      </c>
      <c r="C5" s="4">
        <v>55.652999999999999</v>
      </c>
      <c r="D5" s="4">
        <v>1.464</v>
      </c>
      <c r="E5" s="4">
        <v>-265.90300000000002</v>
      </c>
      <c r="F5" s="4">
        <v>1.4850000000000001</v>
      </c>
      <c r="G5" s="4">
        <v>295.57499999999999</v>
      </c>
      <c r="I5" s="4">
        <v>1.359</v>
      </c>
      <c r="J5" s="4">
        <v>429.52499999999998</v>
      </c>
      <c r="K5" s="4">
        <v>1.3540000000000001</v>
      </c>
      <c r="L5" s="4">
        <v>124.864</v>
      </c>
      <c r="M5" s="4">
        <v>1.319</v>
      </c>
      <c r="N5" s="4">
        <v>-155.40700000000001</v>
      </c>
      <c r="P5" s="4">
        <v>1.8979999999999999</v>
      </c>
      <c r="Q5" s="4">
        <v>604.47500000000002</v>
      </c>
      <c r="R5" s="4">
        <v>1.758</v>
      </c>
      <c r="S5" s="4">
        <v>235.39099999999999</v>
      </c>
      <c r="T5" s="4">
        <v>1.778</v>
      </c>
      <c r="U5" s="4">
        <v>412.63499999999999</v>
      </c>
      <c r="W5" s="4">
        <v>1.7989999999999999</v>
      </c>
      <c r="X5" s="4">
        <v>-245.45500000000001</v>
      </c>
      <c r="Y5" s="4">
        <v>1.7749999999999999</v>
      </c>
      <c r="Z5" s="4">
        <v>225.63</v>
      </c>
      <c r="AA5" s="4">
        <v>1.208</v>
      </c>
      <c r="AB5" s="4">
        <v>109.705</v>
      </c>
      <c r="AD5" s="4">
        <v>1.518</v>
      </c>
      <c r="AE5" s="4">
        <v>708.24400000000003</v>
      </c>
      <c r="AF5" s="5">
        <v>1.5129999999999999</v>
      </c>
      <c r="AG5" s="4">
        <v>613.42899999999997</v>
      </c>
      <c r="AH5" s="4">
        <v>1.5329999999999999</v>
      </c>
      <c r="AI5" s="1">
        <v>556.01300000000003</v>
      </c>
    </row>
    <row r="6" spans="1:35" x14ac:dyDescent="0.2">
      <c r="B6" s="4">
        <v>1.4330000000000001</v>
      </c>
      <c r="C6" s="4">
        <v>331.27699999999999</v>
      </c>
      <c r="D6" s="4">
        <v>1.4630000000000001</v>
      </c>
      <c r="E6" s="4">
        <v>31.434000000000001</v>
      </c>
      <c r="F6" s="4">
        <v>1.488</v>
      </c>
      <c r="G6" s="4">
        <v>209.19499999999999</v>
      </c>
      <c r="I6" s="4">
        <v>1.359</v>
      </c>
      <c r="J6" s="4">
        <v>256.16399999999999</v>
      </c>
      <c r="K6" s="4">
        <v>1.3560000000000001</v>
      </c>
      <c r="L6" s="4">
        <v>-86.704999999999998</v>
      </c>
      <c r="M6" s="4">
        <v>1.32</v>
      </c>
      <c r="N6" s="4">
        <v>-419.75799999999998</v>
      </c>
      <c r="P6" s="4">
        <v>1.895</v>
      </c>
      <c r="Q6" s="4">
        <v>477.15199999999999</v>
      </c>
      <c r="R6" s="4">
        <v>1.7589999999999999</v>
      </c>
      <c r="S6" s="4">
        <v>123.523</v>
      </c>
      <c r="T6" s="4">
        <v>1.7789999999999999</v>
      </c>
      <c r="U6" s="4">
        <v>490.495</v>
      </c>
      <c r="W6" s="4">
        <v>1.798</v>
      </c>
      <c r="X6" s="4">
        <v>0.85899999999999999</v>
      </c>
      <c r="Y6" s="4">
        <v>1.774</v>
      </c>
      <c r="Z6" s="4">
        <v>143.50399999999999</v>
      </c>
      <c r="AA6" s="4">
        <v>1.206</v>
      </c>
      <c r="AB6" s="4">
        <v>144.75299999999999</v>
      </c>
      <c r="AD6" s="4">
        <v>1.52</v>
      </c>
      <c r="AE6" s="4">
        <v>786.375</v>
      </c>
      <c r="AF6" s="5">
        <v>1.514</v>
      </c>
      <c r="AG6" s="4">
        <v>636.02700000000004</v>
      </c>
      <c r="AH6" s="4">
        <v>1.5289999999999999</v>
      </c>
      <c r="AI6" s="1">
        <v>615.89200000000005</v>
      </c>
    </row>
    <row r="7" spans="1:35" x14ac:dyDescent="0.2">
      <c r="B7" s="4">
        <v>1.4339999999999999</v>
      </c>
      <c r="C7" s="4">
        <v>176.113</v>
      </c>
      <c r="D7" s="4">
        <v>1.464</v>
      </c>
      <c r="E7" s="4">
        <v>-87.337999999999994</v>
      </c>
      <c r="F7" s="4">
        <v>1.4890000000000001</v>
      </c>
      <c r="G7" s="4">
        <v>-247.02199999999999</v>
      </c>
      <c r="I7" s="4">
        <v>1.361</v>
      </c>
      <c r="J7" s="4">
        <v>88.408000000000001</v>
      </c>
      <c r="K7" s="4">
        <v>1.3540000000000001</v>
      </c>
      <c r="L7" s="4">
        <v>-98.247</v>
      </c>
      <c r="M7" s="4">
        <v>1.319</v>
      </c>
      <c r="N7" s="4">
        <v>-276.709</v>
      </c>
      <c r="P7" s="4">
        <v>1.89</v>
      </c>
      <c r="Q7" s="4">
        <v>292.88799999999998</v>
      </c>
      <c r="R7" s="4">
        <v>1.7569999999999999</v>
      </c>
      <c r="S7" s="4">
        <v>115.002</v>
      </c>
      <c r="T7" s="4">
        <v>1.778</v>
      </c>
      <c r="U7" s="4">
        <v>424.49200000000002</v>
      </c>
      <c r="W7" s="4">
        <v>1.8029999999999999</v>
      </c>
      <c r="X7" s="4">
        <v>54.241</v>
      </c>
      <c r="Y7" s="4">
        <v>1.7769999999999999</v>
      </c>
      <c r="Z7" s="4">
        <v>124.69</v>
      </c>
      <c r="AA7" s="4">
        <v>1.208</v>
      </c>
      <c r="AB7" s="4">
        <v>-43.823999999999998</v>
      </c>
      <c r="AD7" s="4">
        <v>1.5189999999999999</v>
      </c>
      <c r="AE7" s="4">
        <v>790.47</v>
      </c>
      <c r="AF7" s="5">
        <v>1.5169999999999999</v>
      </c>
      <c r="AG7" s="4">
        <v>639.173</v>
      </c>
      <c r="AH7" s="4">
        <v>1.5349999999999999</v>
      </c>
      <c r="AI7" s="1">
        <v>639.94500000000005</v>
      </c>
    </row>
    <row r="8" spans="1:35" x14ac:dyDescent="0.2">
      <c r="B8" s="4">
        <v>1.4330000000000001</v>
      </c>
      <c r="C8" s="4">
        <v>150.67500000000001</v>
      </c>
      <c r="D8" s="4">
        <v>1.4650000000000001</v>
      </c>
      <c r="E8" s="4">
        <v>-161.41499999999999</v>
      </c>
      <c r="F8" s="4">
        <v>1.4870000000000001</v>
      </c>
      <c r="G8" s="4">
        <v>42.622</v>
      </c>
      <c r="I8" s="4">
        <v>1.36</v>
      </c>
      <c r="J8" s="4">
        <v>-16.882000000000001</v>
      </c>
      <c r="K8" s="4">
        <v>1.355</v>
      </c>
      <c r="L8" s="4">
        <v>-79.533000000000001</v>
      </c>
      <c r="M8" s="4">
        <v>1.3160000000000001</v>
      </c>
      <c r="N8" s="4">
        <v>-111.803</v>
      </c>
      <c r="P8" s="4">
        <v>1.883</v>
      </c>
      <c r="Q8" s="4">
        <v>734.60699999999997</v>
      </c>
      <c r="R8" s="4">
        <v>1.7549999999999999</v>
      </c>
      <c r="S8" s="4">
        <v>571.51099999999997</v>
      </c>
      <c r="T8" s="4">
        <v>1.7789999999999999</v>
      </c>
      <c r="U8" s="4">
        <v>480.37900000000002</v>
      </c>
      <c r="W8" s="4">
        <v>1.8049999999999999</v>
      </c>
      <c r="X8" s="4">
        <v>176.852</v>
      </c>
      <c r="Y8" s="4">
        <v>1.7749999999999999</v>
      </c>
      <c r="Z8" s="4">
        <v>-6.7750000000000004</v>
      </c>
      <c r="AA8" s="4">
        <v>1.206</v>
      </c>
      <c r="AB8" s="4">
        <v>171.89500000000001</v>
      </c>
      <c r="AD8" s="4">
        <v>1.518</v>
      </c>
      <c r="AE8" s="4">
        <v>791.12800000000004</v>
      </c>
      <c r="AF8" s="5">
        <v>1.518</v>
      </c>
      <c r="AG8" s="4">
        <v>639.71799999999996</v>
      </c>
      <c r="AH8" s="4">
        <v>1.53</v>
      </c>
      <c r="AI8" s="1">
        <v>681.15899999999999</v>
      </c>
    </row>
    <row r="9" spans="1:35" x14ac:dyDescent="0.2">
      <c r="B9" s="4">
        <v>1.4319999999999999</v>
      </c>
      <c r="C9" s="4">
        <v>36.256</v>
      </c>
      <c r="D9" s="4">
        <v>1.4650000000000001</v>
      </c>
      <c r="E9" s="4">
        <v>9.7949999999999999</v>
      </c>
      <c r="F9" s="4">
        <v>1.4870000000000001</v>
      </c>
      <c r="G9" s="4">
        <v>35.512999999999998</v>
      </c>
      <c r="I9" s="4">
        <v>1.361</v>
      </c>
      <c r="J9" s="4">
        <v>-366.351</v>
      </c>
      <c r="K9" s="4">
        <v>1.355</v>
      </c>
      <c r="L9" s="4">
        <v>113.977</v>
      </c>
      <c r="M9" s="4">
        <v>1.3160000000000001</v>
      </c>
      <c r="N9" s="4">
        <v>-26.382999999999999</v>
      </c>
      <c r="P9" s="4">
        <v>1.879</v>
      </c>
      <c r="Q9" s="4">
        <v>360.47800000000001</v>
      </c>
      <c r="R9" s="4">
        <v>1.76</v>
      </c>
      <c r="S9" s="4">
        <v>194.363</v>
      </c>
      <c r="T9" s="4">
        <v>1.778</v>
      </c>
      <c r="U9" s="4">
        <v>573.995</v>
      </c>
      <c r="W9" s="4">
        <v>1.806</v>
      </c>
      <c r="X9" s="4">
        <v>-96.536000000000001</v>
      </c>
      <c r="Y9" s="4">
        <v>1.7709999999999999</v>
      </c>
      <c r="Z9" s="4">
        <v>143.18100000000001</v>
      </c>
      <c r="AA9" s="4">
        <v>1.208</v>
      </c>
      <c r="AB9" s="4">
        <v>34.042999999999999</v>
      </c>
      <c r="AD9" s="4">
        <v>1.516</v>
      </c>
      <c r="AE9" s="4">
        <v>792.798</v>
      </c>
      <c r="AF9" s="5">
        <v>1.5169999999999999</v>
      </c>
      <c r="AG9" s="4">
        <v>662.60799999999995</v>
      </c>
      <c r="AH9" s="4">
        <v>1.528</v>
      </c>
      <c r="AI9" s="1">
        <v>749.86400000000003</v>
      </c>
    </row>
    <row r="10" spans="1:35" x14ac:dyDescent="0.2">
      <c r="B10" s="4">
        <v>1.4330000000000001</v>
      </c>
      <c r="C10" s="4">
        <v>-26.678999999999998</v>
      </c>
      <c r="D10" s="4">
        <v>1.464</v>
      </c>
      <c r="E10" s="4">
        <v>158.16900000000001</v>
      </c>
      <c r="F10" s="4">
        <v>1.488</v>
      </c>
      <c r="G10" s="4">
        <v>-29.12</v>
      </c>
      <c r="I10" s="4">
        <v>1.361</v>
      </c>
      <c r="J10" s="4">
        <v>-52.613999999999997</v>
      </c>
      <c r="K10" s="4">
        <v>1.355</v>
      </c>
      <c r="L10" s="4">
        <v>119.836</v>
      </c>
      <c r="M10" s="4">
        <v>1.306</v>
      </c>
      <c r="N10" s="4">
        <v>-115.27800000000001</v>
      </c>
      <c r="P10" s="4">
        <v>1.8740000000000001</v>
      </c>
      <c r="Q10" s="4">
        <v>338.762</v>
      </c>
      <c r="R10" s="4">
        <v>1.76</v>
      </c>
      <c r="S10" s="4">
        <v>243.98400000000001</v>
      </c>
      <c r="T10" s="4">
        <v>1.7769999999999999</v>
      </c>
      <c r="U10" s="4">
        <v>611.92600000000004</v>
      </c>
      <c r="W10" s="4">
        <v>1.8080000000000001</v>
      </c>
      <c r="X10" s="4">
        <v>-88.018000000000001</v>
      </c>
      <c r="Y10" s="4">
        <v>1.7729999999999999</v>
      </c>
      <c r="Z10" s="4">
        <v>-43.207000000000001</v>
      </c>
      <c r="AA10" s="4">
        <v>1.2070000000000001</v>
      </c>
      <c r="AB10" s="4">
        <v>180.63200000000001</v>
      </c>
      <c r="AD10" s="4">
        <v>1.5149999999999999</v>
      </c>
      <c r="AE10" s="4">
        <v>310.78899999999999</v>
      </c>
      <c r="AF10" s="5">
        <v>1.5169999999999999</v>
      </c>
      <c r="AG10" s="4">
        <v>696.2</v>
      </c>
      <c r="AH10" s="4">
        <v>1.53</v>
      </c>
      <c r="AI10" s="1">
        <v>756.79600000000005</v>
      </c>
    </row>
    <row r="11" spans="1:35" x14ac:dyDescent="0.2">
      <c r="B11" s="4">
        <v>1.4319999999999999</v>
      </c>
      <c r="C11" s="4">
        <v>230.69800000000001</v>
      </c>
      <c r="D11" s="4">
        <v>1.4630000000000001</v>
      </c>
      <c r="E11" s="4">
        <v>299.565</v>
      </c>
      <c r="F11" s="4">
        <v>1.4890000000000001</v>
      </c>
      <c r="G11" s="4">
        <v>62.600999999999999</v>
      </c>
      <c r="I11" s="4">
        <v>1.357</v>
      </c>
      <c r="J11" s="4">
        <v>405.52600000000001</v>
      </c>
      <c r="K11" s="4">
        <v>1.3560000000000001</v>
      </c>
      <c r="L11" s="4">
        <v>-95.742999999999995</v>
      </c>
      <c r="M11" s="4">
        <v>1.3029999999999999</v>
      </c>
      <c r="N11" s="4">
        <v>310.57499999999999</v>
      </c>
      <c r="P11" s="4">
        <v>1.869</v>
      </c>
      <c r="Q11" s="4">
        <v>360.322</v>
      </c>
      <c r="R11" s="4">
        <v>1.7609999999999999</v>
      </c>
      <c r="S11" s="4">
        <v>194.42099999999999</v>
      </c>
      <c r="T11" s="4">
        <v>1.7749999999999999</v>
      </c>
      <c r="U11" s="4">
        <v>519.976</v>
      </c>
      <c r="W11" s="4">
        <v>1.8069999999999999</v>
      </c>
      <c r="X11" s="4">
        <v>-18.122</v>
      </c>
      <c r="Y11" s="4">
        <v>1.7729999999999999</v>
      </c>
      <c r="Z11" s="4">
        <v>-149.04900000000001</v>
      </c>
      <c r="AA11" s="4">
        <v>1.2070000000000001</v>
      </c>
      <c r="AB11" s="4">
        <v>-123.259</v>
      </c>
      <c r="AD11" s="4">
        <v>1.5109999999999999</v>
      </c>
      <c r="AE11" s="4">
        <v>413.209</v>
      </c>
      <c r="AF11" s="5">
        <v>1.518</v>
      </c>
      <c r="AG11" s="4">
        <v>714.12199999999996</v>
      </c>
      <c r="AH11" s="4">
        <v>1.5349999999999999</v>
      </c>
      <c r="AI11" s="1">
        <v>771.42600000000004</v>
      </c>
    </row>
    <row r="12" spans="1:35" x14ac:dyDescent="0.2">
      <c r="B12" s="4">
        <v>1.431</v>
      </c>
      <c r="C12" s="4">
        <v>-98.369</v>
      </c>
      <c r="D12" s="4">
        <v>1.466</v>
      </c>
      <c r="E12" s="4">
        <v>86.826999999999998</v>
      </c>
      <c r="F12" s="4">
        <v>1.4870000000000001</v>
      </c>
      <c r="G12" s="4">
        <v>182.63499999999999</v>
      </c>
      <c r="I12" s="4">
        <v>1.357</v>
      </c>
      <c r="J12" s="4">
        <v>94.034000000000006</v>
      </c>
      <c r="K12" s="4">
        <v>1.3540000000000001</v>
      </c>
      <c r="L12" s="4">
        <v>118.429</v>
      </c>
      <c r="M12" s="4">
        <v>1.3009999999999999</v>
      </c>
      <c r="N12" s="4">
        <v>248.98099999999999</v>
      </c>
      <c r="P12" s="4">
        <v>1.865</v>
      </c>
      <c r="Q12" s="4">
        <v>414.90699999999998</v>
      </c>
      <c r="R12" s="4">
        <v>1.7609999999999999</v>
      </c>
      <c r="S12" s="4">
        <v>395.26900000000001</v>
      </c>
      <c r="T12" s="4">
        <v>1.776</v>
      </c>
      <c r="U12" s="4">
        <v>627.05899999999997</v>
      </c>
      <c r="W12" s="4">
        <v>1.81</v>
      </c>
      <c r="X12" s="4">
        <v>-85.542000000000002</v>
      </c>
      <c r="Y12" s="4">
        <v>1.7749999999999999</v>
      </c>
      <c r="Z12" s="4">
        <v>-197.304</v>
      </c>
      <c r="AA12" s="4">
        <v>1.2070000000000001</v>
      </c>
      <c r="AB12" s="4">
        <v>-8.0709999999999997</v>
      </c>
      <c r="AD12" s="4">
        <v>1.5149999999999999</v>
      </c>
      <c r="AE12" s="4">
        <v>419.14400000000001</v>
      </c>
      <c r="AF12" s="5">
        <v>1.5169999999999999</v>
      </c>
      <c r="AG12" s="4">
        <v>732.85199999999998</v>
      </c>
      <c r="AH12" s="4">
        <v>1.5329999999999999</v>
      </c>
      <c r="AI12" s="1">
        <v>778.77599999999995</v>
      </c>
    </row>
    <row r="13" spans="1:35" x14ac:dyDescent="0.2">
      <c r="B13" s="4">
        <v>1.431</v>
      </c>
      <c r="C13" s="4">
        <v>157.953</v>
      </c>
      <c r="D13" s="4">
        <v>1.4670000000000001</v>
      </c>
      <c r="E13" s="4">
        <v>-130.19200000000001</v>
      </c>
      <c r="F13" s="4">
        <v>1.488</v>
      </c>
      <c r="G13" s="4">
        <v>110.91200000000001</v>
      </c>
      <c r="I13" s="4">
        <v>1.357</v>
      </c>
      <c r="J13" s="4">
        <v>70.647999999999996</v>
      </c>
      <c r="K13" s="4">
        <v>1.355</v>
      </c>
      <c r="L13" s="4">
        <v>-56.914000000000001</v>
      </c>
      <c r="M13" s="4">
        <v>1.302</v>
      </c>
      <c r="N13" s="4">
        <v>65.319000000000003</v>
      </c>
      <c r="P13" s="4">
        <v>1.861</v>
      </c>
      <c r="Q13" s="4">
        <v>528.32799999999997</v>
      </c>
      <c r="R13" s="4">
        <v>1.76</v>
      </c>
      <c r="S13" s="4">
        <v>194.346</v>
      </c>
      <c r="T13" s="4">
        <v>1.78</v>
      </c>
      <c r="U13" s="4">
        <v>353.36599999999999</v>
      </c>
      <c r="W13" s="4">
        <v>1.8089999999999999</v>
      </c>
      <c r="X13" s="4">
        <v>244.745</v>
      </c>
      <c r="Y13" s="4">
        <v>1.7749999999999999</v>
      </c>
      <c r="Z13" s="4">
        <v>-300.10300000000001</v>
      </c>
      <c r="AA13" s="4">
        <v>1.206</v>
      </c>
      <c r="AB13" s="4">
        <v>72.625</v>
      </c>
      <c r="AD13" s="4">
        <v>1.516</v>
      </c>
      <c r="AE13" s="4">
        <v>430.40600000000001</v>
      </c>
      <c r="AF13" s="5">
        <v>1.5189999999999999</v>
      </c>
      <c r="AG13" s="4">
        <v>734.39499999999998</v>
      </c>
      <c r="AH13" s="4">
        <v>1.534</v>
      </c>
      <c r="AI13" s="1">
        <v>865.79</v>
      </c>
    </row>
    <row r="14" spans="1:35" x14ac:dyDescent="0.2">
      <c r="B14" s="4">
        <v>1.4319999999999999</v>
      </c>
      <c r="C14" s="4">
        <v>-31.440999999999999</v>
      </c>
      <c r="D14" s="4">
        <v>1.4690000000000001</v>
      </c>
      <c r="E14" s="4">
        <v>-121.99</v>
      </c>
      <c r="F14" s="4">
        <v>1.488</v>
      </c>
      <c r="G14" s="4">
        <v>269.779</v>
      </c>
      <c r="I14" s="4">
        <v>1.357</v>
      </c>
      <c r="J14" s="4">
        <v>147.84100000000001</v>
      </c>
      <c r="K14" s="4">
        <v>1.3560000000000001</v>
      </c>
      <c r="L14" s="4">
        <v>-29.771000000000001</v>
      </c>
      <c r="M14" s="4">
        <v>1.302</v>
      </c>
      <c r="N14" s="4">
        <v>-112.464</v>
      </c>
      <c r="P14" s="4">
        <v>1.855</v>
      </c>
      <c r="Q14" s="4">
        <v>325.67099999999999</v>
      </c>
      <c r="R14" s="4">
        <v>1.7589999999999999</v>
      </c>
      <c r="S14" s="4">
        <v>-22.677</v>
      </c>
      <c r="T14" s="4">
        <v>1.7829999999999999</v>
      </c>
      <c r="U14" s="4">
        <v>199.393</v>
      </c>
      <c r="W14" s="4">
        <v>1.8109999999999999</v>
      </c>
      <c r="X14" s="4">
        <v>-18.158000000000001</v>
      </c>
      <c r="Y14" s="4">
        <v>1.7749999999999999</v>
      </c>
      <c r="Z14" s="4">
        <v>-159.75899999999999</v>
      </c>
      <c r="AA14" s="4">
        <v>1.2070000000000001</v>
      </c>
      <c r="AB14" s="4">
        <v>-74.301000000000002</v>
      </c>
      <c r="AD14" s="4">
        <v>1.518</v>
      </c>
      <c r="AE14" s="4">
        <v>440.161</v>
      </c>
      <c r="AF14" s="5">
        <v>1.5169999999999999</v>
      </c>
      <c r="AG14" s="4">
        <v>738.55100000000004</v>
      </c>
      <c r="AH14" s="4">
        <v>1.5309999999999999</v>
      </c>
      <c r="AI14" s="1">
        <v>890.88300000000004</v>
      </c>
    </row>
    <row r="15" spans="1:35" x14ac:dyDescent="0.2">
      <c r="B15" s="4">
        <v>1.43</v>
      </c>
      <c r="C15" s="4">
        <v>23.222000000000001</v>
      </c>
      <c r="D15" s="4">
        <v>1.468</v>
      </c>
      <c r="E15" s="4">
        <v>223.267</v>
      </c>
      <c r="F15" s="4">
        <v>1.492</v>
      </c>
      <c r="G15" s="4">
        <v>-361.815</v>
      </c>
      <c r="I15" s="4">
        <v>1.3580000000000001</v>
      </c>
      <c r="J15" s="4">
        <v>17.512</v>
      </c>
      <c r="K15" s="4">
        <v>1.355</v>
      </c>
      <c r="L15" s="4">
        <v>-52.398000000000003</v>
      </c>
      <c r="M15" s="4">
        <v>1.2969999999999999</v>
      </c>
      <c r="N15" s="4">
        <v>63.843000000000004</v>
      </c>
      <c r="P15" s="4">
        <v>1.853</v>
      </c>
      <c r="Q15" s="4">
        <v>363.34800000000001</v>
      </c>
      <c r="R15" s="4">
        <v>1.758</v>
      </c>
      <c r="S15" s="4">
        <v>300.22500000000002</v>
      </c>
      <c r="T15" s="4">
        <v>1.786</v>
      </c>
      <c r="U15" s="4">
        <v>460.78899999999999</v>
      </c>
      <c r="W15" s="4">
        <v>1.8120000000000001</v>
      </c>
      <c r="X15" s="4">
        <v>-282.54899999999998</v>
      </c>
      <c r="Y15" s="4">
        <v>1.7729999999999999</v>
      </c>
      <c r="Z15" s="4">
        <v>299.71100000000001</v>
      </c>
      <c r="AA15" s="4">
        <v>1.2070000000000001</v>
      </c>
      <c r="AB15" s="4">
        <v>114.755</v>
      </c>
      <c r="AD15" s="4">
        <v>1.5149999999999999</v>
      </c>
      <c r="AE15" s="4">
        <v>441.40600000000001</v>
      </c>
      <c r="AF15" s="5">
        <v>1.518</v>
      </c>
      <c r="AG15" s="4">
        <v>751.76</v>
      </c>
      <c r="AH15" s="4">
        <v>1.5369999999999999</v>
      </c>
      <c r="AI15" s="1">
        <v>907.68899999999996</v>
      </c>
    </row>
    <row r="16" spans="1:35" x14ac:dyDescent="0.2">
      <c r="B16" s="4">
        <v>1.429</v>
      </c>
      <c r="C16" s="4">
        <v>-15.698</v>
      </c>
      <c r="D16" s="4">
        <v>1.47</v>
      </c>
      <c r="E16" s="4">
        <v>-156.363</v>
      </c>
      <c r="F16" s="4">
        <v>1.4910000000000001</v>
      </c>
      <c r="G16" s="4">
        <v>-311.26600000000002</v>
      </c>
      <c r="I16" s="4">
        <v>1.3580000000000001</v>
      </c>
      <c r="J16" s="4">
        <v>188.267</v>
      </c>
      <c r="K16" s="4">
        <v>1.353</v>
      </c>
      <c r="L16" s="4">
        <v>40.703000000000003</v>
      </c>
      <c r="M16" s="4">
        <v>1.298</v>
      </c>
      <c r="N16" s="4">
        <v>124.041</v>
      </c>
      <c r="P16" s="4">
        <v>1.849</v>
      </c>
      <c r="Q16" s="4">
        <v>264.32600000000002</v>
      </c>
      <c r="R16" s="4">
        <v>1.7609999999999999</v>
      </c>
      <c r="S16" s="4">
        <v>248.37100000000001</v>
      </c>
      <c r="T16" s="4">
        <v>1.788</v>
      </c>
      <c r="U16" s="4">
        <v>209.43299999999999</v>
      </c>
      <c r="W16" s="4">
        <v>1.8129999999999999</v>
      </c>
      <c r="X16" s="4">
        <v>-38.945999999999998</v>
      </c>
      <c r="Y16" s="4">
        <v>1.772</v>
      </c>
      <c r="Z16" s="4">
        <v>229.46</v>
      </c>
      <c r="AA16" s="4">
        <v>1.2070000000000001</v>
      </c>
      <c r="AB16" s="4">
        <v>-50.713999999999999</v>
      </c>
      <c r="AD16" s="4">
        <v>1.518</v>
      </c>
      <c r="AE16" s="4">
        <v>444.15199999999999</v>
      </c>
      <c r="AF16" s="5">
        <v>1.52</v>
      </c>
      <c r="AG16" s="4">
        <v>756.69399999999996</v>
      </c>
      <c r="AH16" s="4">
        <v>1.5369999999999999</v>
      </c>
      <c r="AI16" s="1">
        <v>911.85</v>
      </c>
    </row>
    <row r="17" spans="2:35" x14ac:dyDescent="0.2">
      <c r="B17" s="4">
        <v>1.429</v>
      </c>
      <c r="C17" s="4">
        <v>133.13900000000001</v>
      </c>
      <c r="D17" s="4">
        <v>1.472</v>
      </c>
      <c r="E17" s="4">
        <v>-200.05</v>
      </c>
      <c r="F17" s="4">
        <v>1.4890000000000001</v>
      </c>
      <c r="G17" s="4">
        <v>185.77699999999999</v>
      </c>
      <c r="I17" s="4">
        <v>1.359</v>
      </c>
      <c r="J17" s="4">
        <v>100.634</v>
      </c>
      <c r="K17" s="4">
        <v>1.355</v>
      </c>
      <c r="L17" s="4">
        <v>-187.47800000000001</v>
      </c>
      <c r="M17" s="4">
        <v>1.2989999999999999</v>
      </c>
      <c r="N17" s="4">
        <v>-222.88800000000001</v>
      </c>
      <c r="P17" s="4">
        <v>1.8440000000000001</v>
      </c>
      <c r="Q17" s="4">
        <v>460.75599999999997</v>
      </c>
      <c r="R17" s="4">
        <v>1.762</v>
      </c>
      <c r="S17" s="4">
        <v>68.177000000000007</v>
      </c>
      <c r="T17" s="4">
        <v>1.7869999999999999</v>
      </c>
      <c r="U17" s="4">
        <v>369.25299999999999</v>
      </c>
      <c r="W17" s="4">
        <v>1.8129999999999999</v>
      </c>
      <c r="X17" s="4">
        <v>-32.886000000000003</v>
      </c>
      <c r="Y17" s="4">
        <v>1.77</v>
      </c>
      <c r="Z17" s="4">
        <v>224.00700000000001</v>
      </c>
      <c r="AA17" s="4">
        <v>1.208</v>
      </c>
      <c r="AB17" s="4">
        <v>12.112</v>
      </c>
      <c r="AD17" s="4">
        <v>1.5129999999999999</v>
      </c>
      <c r="AE17" s="4">
        <v>446.91899999999998</v>
      </c>
      <c r="AF17" s="5">
        <v>1.518</v>
      </c>
      <c r="AG17" s="4">
        <v>777.25699999999995</v>
      </c>
      <c r="AH17" s="4">
        <v>1.538</v>
      </c>
      <c r="AI17" s="1">
        <v>923.85699999999997</v>
      </c>
    </row>
    <row r="18" spans="2:35" x14ac:dyDescent="0.2">
      <c r="B18" s="4">
        <v>1.429</v>
      </c>
      <c r="C18" s="4">
        <v>152.29499999999999</v>
      </c>
      <c r="D18" s="4">
        <v>1.47</v>
      </c>
      <c r="E18" s="4">
        <v>-19.657</v>
      </c>
      <c r="F18" s="4">
        <v>1.4930000000000001</v>
      </c>
      <c r="G18" s="4">
        <v>-324.49900000000002</v>
      </c>
      <c r="I18" s="4">
        <v>1.359</v>
      </c>
      <c r="J18" s="4">
        <v>-235.88900000000001</v>
      </c>
      <c r="K18" s="4">
        <v>1.3560000000000001</v>
      </c>
      <c r="L18" s="4">
        <v>-6.4740000000000002</v>
      </c>
      <c r="M18" s="4">
        <v>1.298</v>
      </c>
      <c r="N18" s="4">
        <v>-168.35400000000001</v>
      </c>
      <c r="P18" s="4">
        <v>1.8420000000000001</v>
      </c>
      <c r="Q18" s="4">
        <v>97.694999999999993</v>
      </c>
      <c r="R18" s="4">
        <v>1.764</v>
      </c>
      <c r="S18" s="4">
        <v>142.47499999999999</v>
      </c>
      <c r="T18" s="4">
        <v>1.7889999999999999</v>
      </c>
      <c r="U18" s="4">
        <v>297.67</v>
      </c>
      <c r="W18" s="4">
        <v>1.8120000000000001</v>
      </c>
      <c r="X18" s="4">
        <v>231.292</v>
      </c>
      <c r="Y18" s="4">
        <v>1.7709999999999999</v>
      </c>
      <c r="Z18" s="4">
        <v>89.68</v>
      </c>
      <c r="AA18" s="4">
        <v>1.208</v>
      </c>
      <c r="AB18" s="4">
        <v>-88.763999999999996</v>
      </c>
      <c r="AD18" s="4">
        <v>1.514</v>
      </c>
      <c r="AE18" s="4">
        <v>447.476</v>
      </c>
      <c r="AF18" s="5">
        <v>1.518</v>
      </c>
      <c r="AG18" s="4">
        <v>796.04</v>
      </c>
      <c r="AH18" s="4">
        <v>1.5369999999999999</v>
      </c>
      <c r="AI18" s="1">
        <v>924.97799999999995</v>
      </c>
    </row>
    <row r="19" spans="2:35" x14ac:dyDescent="0.2">
      <c r="B19" s="4">
        <v>1.429</v>
      </c>
      <c r="C19" s="4">
        <v>-120.727</v>
      </c>
      <c r="D19" s="4">
        <v>1.4710000000000001</v>
      </c>
      <c r="E19" s="4">
        <v>-42.844999999999999</v>
      </c>
      <c r="F19" s="4">
        <v>1.492</v>
      </c>
      <c r="G19" s="4">
        <v>-63.398000000000003</v>
      </c>
      <c r="I19" s="4">
        <v>1.3580000000000001</v>
      </c>
      <c r="J19" s="4">
        <v>27.231999999999999</v>
      </c>
      <c r="K19" s="4">
        <v>1.355</v>
      </c>
      <c r="L19" s="4">
        <v>3.2349999999999999</v>
      </c>
      <c r="M19" s="4">
        <v>1.296</v>
      </c>
      <c r="N19" s="4">
        <v>23.52</v>
      </c>
      <c r="P19" s="4">
        <v>1.837</v>
      </c>
      <c r="Q19" s="4">
        <v>780.86</v>
      </c>
      <c r="R19" s="4">
        <v>1.7649999999999999</v>
      </c>
      <c r="S19" s="4">
        <v>247.27600000000001</v>
      </c>
      <c r="T19" s="4">
        <v>1.792</v>
      </c>
      <c r="U19" s="4">
        <v>271.61599999999999</v>
      </c>
      <c r="W19" s="4">
        <v>1.8140000000000001</v>
      </c>
      <c r="X19" s="4">
        <v>85.771000000000001</v>
      </c>
      <c r="Y19" s="4">
        <v>1.768</v>
      </c>
      <c r="Z19" s="4">
        <v>332.03899999999999</v>
      </c>
      <c r="AA19" s="4">
        <v>1.206</v>
      </c>
      <c r="AB19" s="4">
        <v>32.268000000000001</v>
      </c>
      <c r="AD19" s="4">
        <v>1.512</v>
      </c>
      <c r="AE19" s="4">
        <v>468.32</v>
      </c>
      <c r="AF19" s="5">
        <v>1.5209999999999999</v>
      </c>
      <c r="AG19" s="4">
        <v>796.27099999999996</v>
      </c>
      <c r="AH19" s="4">
        <v>1.5329999999999999</v>
      </c>
      <c r="AI19" s="1">
        <v>957.53800000000001</v>
      </c>
    </row>
    <row r="20" spans="2:35" x14ac:dyDescent="0.2">
      <c r="B20" s="4">
        <v>1.4259999999999999</v>
      </c>
      <c r="C20" s="4">
        <v>-19.751000000000001</v>
      </c>
      <c r="D20" s="4">
        <v>1.472</v>
      </c>
      <c r="E20" s="4">
        <v>38.664999999999999</v>
      </c>
      <c r="F20" s="4">
        <v>1.4930000000000001</v>
      </c>
      <c r="G20" s="4">
        <v>-114.69199999999999</v>
      </c>
      <c r="I20" s="4">
        <v>1.3580000000000001</v>
      </c>
      <c r="J20" s="4">
        <v>66.828000000000003</v>
      </c>
      <c r="K20" s="4">
        <v>1.353</v>
      </c>
      <c r="L20" s="4">
        <v>109.304</v>
      </c>
      <c r="M20" s="4">
        <v>1.2929999999999999</v>
      </c>
      <c r="N20" s="4">
        <v>192.953</v>
      </c>
      <c r="P20" s="4">
        <v>1.835</v>
      </c>
      <c r="Q20" s="4">
        <v>340.50099999999998</v>
      </c>
      <c r="R20" s="4">
        <v>1.766</v>
      </c>
      <c r="S20" s="4">
        <v>176.452</v>
      </c>
      <c r="T20" s="4">
        <v>1.7949999999999999</v>
      </c>
      <c r="U20" s="4">
        <v>434.75700000000001</v>
      </c>
      <c r="W20" s="4">
        <v>1.8109999999999999</v>
      </c>
      <c r="X20" s="4">
        <v>58.826000000000001</v>
      </c>
      <c r="Y20" s="4">
        <v>1.7709999999999999</v>
      </c>
      <c r="Z20" s="4">
        <v>37.197000000000003</v>
      </c>
      <c r="AA20" s="4">
        <v>1.2050000000000001</v>
      </c>
      <c r="AB20" s="4">
        <v>122.723</v>
      </c>
      <c r="AD20" s="4">
        <v>1.512</v>
      </c>
      <c r="AE20" s="4">
        <v>471.91</v>
      </c>
      <c r="AF20" s="5">
        <v>1.5229999999999999</v>
      </c>
      <c r="AG20" s="4">
        <v>713.56</v>
      </c>
      <c r="AH20" s="4">
        <v>1.538</v>
      </c>
      <c r="AI20" s="1">
        <v>962.99099999999999</v>
      </c>
    </row>
    <row r="21" spans="2:35" x14ac:dyDescent="0.2">
      <c r="B21" s="4">
        <v>1.429</v>
      </c>
      <c r="C21" s="4">
        <v>148.92400000000001</v>
      </c>
      <c r="D21" s="4">
        <v>1.474</v>
      </c>
      <c r="E21" s="4">
        <v>-60.527999999999999</v>
      </c>
      <c r="F21" s="4">
        <v>1.494</v>
      </c>
      <c r="G21" s="4">
        <v>8.56</v>
      </c>
      <c r="I21" s="4">
        <v>1.357</v>
      </c>
      <c r="J21" s="4">
        <v>194.65899999999999</v>
      </c>
      <c r="K21" s="4">
        <v>1.355</v>
      </c>
      <c r="L21" s="4">
        <v>88.028000000000006</v>
      </c>
      <c r="M21" s="4">
        <v>1.292</v>
      </c>
      <c r="N21" s="4">
        <v>82.73</v>
      </c>
      <c r="P21" s="4">
        <v>1.833</v>
      </c>
      <c r="Q21" s="4">
        <v>155.06200000000001</v>
      </c>
      <c r="R21" s="4">
        <v>1.764</v>
      </c>
      <c r="S21" s="4">
        <v>299.49799999999999</v>
      </c>
      <c r="T21" s="4">
        <v>1.7989999999999999</v>
      </c>
      <c r="U21" s="4">
        <v>413.15600000000001</v>
      </c>
      <c r="W21" s="4">
        <v>1.8120000000000001</v>
      </c>
      <c r="X21" s="4">
        <v>-404.90199999999999</v>
      </c>
      <c r="Y21" s="4">
        <v>1.7709999999999999</v>
      </c>
      <c r="Z21" s="4">
        <v>330.31700000000001</v>
      </c>
      <c r="AA21" s="4">
        <v>1.2090000000000001</v>
      </c>
      <c r="AB21" s="4">
        <v>-375.98899999999998</v>
      </c>
      <c r="AD21" s="4">
        <v>1.514</v>
      </c>
      <c r="AE21" s="4">
        <v>489.21199999999999</v>
      </c>
      <c r="AF21" s="5">
        <v>1.5209999999999999</v>
      </c>
      <c r="AG21" s="4">
        <v>327.517</v>
      </c>
      <c r="AH21" s="4">
        <v>1.536</v>
      </c>
      <c r="AI21" s="1">
        <v>965.33399999999995</v>
      </c>
    </row>
    <row r="22" spans="2:35" x14ac:dyDescent="0.2">
      <c r="B22" s="4">
        <v>1.427</v>
      </c>
      <c r="C22" s="4">
        <v>-45.64</v>
      </c>
      <c r="D22" s="4">
        <v>1.4750000000000001</v>
      </c>
      <c r="E22" s="4">
        <v>0</v>
      </c>
      <c r="F22" s="4">
        <v>1.494</v>
      </c>
      <c r="G22" s="4">
        <v>-82.694999999999993</v>
      </c>
      <c r="I22" s="4">
        <v>1.359</v>
      </c>
      <c r="J22" s="4">
        <v>28.565999999999999</v>
      </c>
      <c r="K22" s="4">
        <v>1.3560000000000001</v>
      </c>
      <c r="L22" s="4">
        <v>-188.89099999999999</v>
      </c>
      <c r="M22" s="4">
        <v>1.292</v>
      </c>
      <c r="N22" s="4">
        <v>234.846</v>
      </c>
      <c r="P22" s="4">
        <v>1.83</v>
      </c>
      <c r="Q22" s="4">
        <v>202.89</v>
      </c>
      <c r="R22" s="4">
        <v>1.766</v>
      </c>
      <c r="S22" s="4">
        <v>351.49799999999999</v>
      </c>
      <c r="T22" s="4">
        <v>1.804</v>
      </c>
      <c r="U22" s="4">
        <v>240.578</v>
      </c>
      <c r="W22" s="4">
        <v>1.81</v>
      </c>
      <c r="X22" s="4">
        <v>142.739</v>
      </c>
      <c r="Y22" s="4">
        <v>1.77</v>
      </c>
      <c r="Z22" s="4">
        <v>54.975999999999999</v>
      </c>
      <c r="AA22" s="4">
        <v>1.2070000000000001</v>
      </c>
      <c r="AB22" s="4">
        <v>175.95500000000001</v>
      </c>
      <c r="AD22" s="4">
        <v>1.5169999999999999</v>
      </c>
      <c r="AE22" s="4">
        <v>535.66800000000001</v>
      </c>
      <c r="AF22" s="5">
        <v>1.5209999999999999</v>
      </c>
      <c r="AG22" s="4">
        <v>338.18099999999998</v>
      </c>
      <c r="AH22" s="4">
        <v>1.5349999999999999</v>
      </c>
      <c r="AI22" s="1">
        <v>966.71</v>
      </c>
    </row>
    <row r="23" spans="2:35" x14ac:dyDescent="0.2">
      <c r="B23" s="4">
        <v>1.4279999999999999</v>
      </c>
      <c r="C23" s="4">
        <v>223.22399999999999</v>
      </c>
      <c r="D23" s="4">
        <v>1.4770000000000001</v>
      </c>
      <c r="E23" s="4">
        <v>-273.22000000000003</v>
      </c>
      <c r="F23" s="4">
        <v>1.492</v>
      </c>
      <c r="G23" s="4">
        <v>207.608</v>
      </c>
      <c r="I23" s="4">
        <v>1.357</v>
      </c>
      <c r="J23" s="4">
        <v>-26.573</v>
      </c>
      <c r="K23" s="4">
        <v>1.355</v>
      </c>
      <c r="L23" s="4">
        <v>-76.972999999999999</v>
      </c>
      <c r="M23" s="4">
        <v>1.2909999999999999</v>
      </c>
      <c r="N23" s="4">
        <v>186.97200000000001</v>
      </c>
      <c r="P23" s="4">
        <v>1.823</v>
      </c>
      <c r="Q23" s="4">
        <v>167.29499999999999</v>
      </c>
      <c r="R23" s="4">
        <v>1.7649999999999999</v>
      </c>
      <c r="S23" s="4">
        <v>405.488</v>
      </c>
      <c r="T23" s="4">
        <v>1.804</v>
      </c>
      <c r="U23" s="4">
        <v>235.39400000000001</v>
      </c>
      <c r="W23" s="4">
        <v>1.8109999999999999</v>
      </c>
      <c r="X23" s="4">
        <v>-266.85899999999998</v>
      </c>
      <c r="Y23" s="4">
        <v>1.7709999999999999</v>
      </c>
      <c r="Z23" s="4">
        <v>-40.595999999999997</v>
      </c>
      <c r="AA23" s="4">
        <v>1.2070000000000001</v>
      </c>
      <c r="AB23" s="4">
        <v>120.01600000000001</v>
      </c>
      <c r="AD23" s="4">
        <v>1.5109999999999999</v>
      </c>
      <c r="AE23" s="4">
        <v>539.90200000000004</v>
      </c>
      <c r="AF23" s="5">
        <v>1.5229999999999999</v>
      </c>
      <c r="AG23" s="4">
        <v>417.35599999999999</v>
      </c>
      <c r="AH23" s="4">
        <v>1.54</v>
      </c>
      <c r="AI23" s="1">
        <v>993.44200000000001</v>
      </c>
    </row>
    <row r="24" spans="2:35" x14ac:dyDescent="0.2">
      <c r="B24" s="4">
        <v>1.429</v>
      </c>
      <c r="C24" s="4">
        <v>-175.86199999999999</v>
      </c>
      <c r="D24" s="4">
        <v>1.478</v>
      </c>
      <c r="E24" s="4">
        <v>-149.45599999999999</v>
      </c>
      <c r="F24" s="4">
        <v>1.494</v>
      </c>
      <c r="G24" s="4">
        <v>-47.792000000000002</v>
      </c>
      <c r="I24" s="4">
        <v>1.359</v>
      </c>
      <c r="J24" s="4">
        <v>133.81399999999999</v>
      </c>
      <c r="K24" s="4">
        <v>1.3540000000000001</v>
      </c>
      <c r="L24" s="4">
        <v>265.46800000000002</v>
      </c>
      <c r="M24" s="4">
        <v>1.2929999999999999</v>
      </c>
      <c r="N24" s="4">
        <v>-95.619</v>
      </c>
      <c r="P24" s="4">
        <v>1.819</v>
      </c>
      <c r="Q24" s="4">
        <v>412.49799999999999</v>
      </c>
      <c r="R24" s="4">
        <v>1.766</v>
      </c>
      <c r="S24" s="4">
        <v>48.932000000000002</v>
      </c>
      <c r="T24" s="4">
        <v>1.8089999999999999</v>
      </c>
      <c r="U24" s="4">
        <v>240.42099999999999</v>
      </c>
      <c r="W24" s="4">
        <v>1.8120000000000001</v>
      </c>
      <c r="X24" s="4">
        <v>-314.452</v>
      </c>
      <c r="Y24" s="4">
        <v>1.7709999999999999</v>
      </c>
      <c r="Z24" s="4">
        <v>272.22399999999999</v>
      </c>
      <c r="AA24" s="4">
        <v>1.208</v>
      </c>
      <c r="AB24" s="4">
        <v>-7.5</v>
      </c>
      <c r="AD24" s="4">
        <v>1.5189999999999999</v>
      </c>
      <c r="AE24" s="4">
        <v>559.56600000000003</v>
      </c>
      <c r="AF24" s="5">
        <v>1.5229999999999999</v>
      </c>
      <c r="AG24" s="4">
        <v>429.88499999999999</v>
      </c>
      <c r="AH24" s="4">
        <v>1.538</v>
      </c>
      <c r="AI24" s="1">
        <v>993.62599999999998</v>
      </c>
    </row>
    <row r="25" spans="2:35" x14ac:dyDescent="0.2">
      <c r="B25" s="4">
        <v>1.43</v>
      </c>
      <c r="C25" s="4">
        <v>-81.200999999999993</v>
      </c>
      <c r="D25" s="4">
        <v>1.4770000000000001</v>
      </c>
      <c r="E25" s="4">
        <v>76.209000000000003</v>
      </c>
      <c r="F25" s="4">
        <v>1.4950000000000001</v>
      </c>
      <c r="G25" s="4">
        <v>4.2839999999999998</v>
      </c>
      <c r="I25" s="4">
        <v>1.359</v>
      </c>
      <c r="J25" s="4">
        <v>3.2450000000000001</v>
      </c>
      <c r="K25" s="4">
        <v>1.357</v>
      </c>
      <c r="L25" s="4">
        <v>-7.1280000000000001</v>
      </c>
      <c r="M25" s="4">
        <v>1.29</v>
      </c>
      <c r="N25" s="4">
        <v>-19.704999999999998</v>
      </c>
      <c r="P25" s="4">
        <v>1.8149999999999999</v>
      </c>
      <c r="Q25" s="4">
        <v>269.84300000000002</v>
      </c>
      <c r="R25" s="4">
        <v>1.766</v>
      </c>
      <c r="S25" s="4">
        <v>530.20899999999995</v>
      </c>
      <c r="T25" s="4">
        <v>1.8109999999999999</v>
      </c>
      <c r="U25" s="4">
        <v>311.83999999999997</v>
      </c>
      <c r="W25" s="4">
        <v>1.81</v>
      </c>
      <c r="X25" s="4">
        <v>33.707000000000001</v>
      </c>
      <c r="Y25" s="4">
        <v>1.7709999999999999</v>
      </c>
      <c r="Z25" s="4">
        <v>-67.867999999999995</v>
      </c>
      <c r="AA25" s="4">
        <v>1.2090000000000001</v>
      </c>
      <c r="AB25" s="4">
        <v>75.064999999999998</v>
      </c>
      <c r="AD25" s="4">
        <v>1.5129999999999999</v>
      </c>
      <c r="AE25" s="4">
        <v>622.90099999999995</v>
      </c>
      <c r="AF25" s="5">
        <v>1.522</v>
      </c>
      <c r="AG25" s="4">
        <v>495.35300000000001</v>
      </c>
      <c r="AH25" s="4">
        <v>1.538</v>
      </c>
      <c r="AI25" s="1">
        <v>1002.477</v>
      </c>
    </row>
    <row r="26" spans="2:35" x14ac:dyDescent="0.2">
      <c r="B26" s="4">
        <v>1.427</v>
      </c>
      <c r="C26" s="4">
        <v>232.75200000000001</v>
      </c>
      <c r="D26" s="4">
        <v>1.4770000000000001</v>
      </c>
      <c r="E26" s="4">
        <v>67.010000000000005</v>
      </c>
      <c r="F26" s="4">
        <v>1.4930000000000001</v>
      </c>
      <c r="G26" s="4">
        <v>130.57400000000001</v>
      </c>
      <c r="I26" s="4">
        <v>1.3580000000000001</v>
      </c>
      <c r="J26" s="4">
        <v>-123.803</v>
      </c>
      <c r="K26" s="4">
        <v>1.357</v>
      </c>
      <c r="L26" s="4">
        <v>-278.75</v>
      </c>
      <c r="M26" s="4">
        <v>1.29</v>
      </c>
      <c r="N26" s="4">
        <v>133.80799999999999</v>
      </c>
      <c r="P26" s="4">
        <v>1.8129999999999999</v>
      </c>
      <c r="Q26" s="4">
        <v>549.553</v>
      </c>
      <c r="R26" s="4">
        <v>1.7689999999999999</v>
      </c>
      <c r="S26" s="4">
        <v>53.231999999999999</v>
      </c>
      <c r="T26" s="4">
        <v>1.8160000000000001</v>
      </c>
      <c r="U26" s="4">
        <v>518.87400000000002</v>
      </c>
      <c r="W26" s="4">
        <v>1.8089999999999999</v>
      </c>
      <c r="X26" s="4">
        <v>11.231</v>
      </c>
      <c r="Y26" s="4">
        <v>1.774</v>
      </c>
      <c r="Z26" s="4">
        <v>-9.33</v>
      </c>
      <c r="AA26" s="4">
        <v>1.2070000000000001</v>
      </c>
      <c r="AB26" s="4">
        <v>70.959000000000003</v>
      </c>
      <c r="AD26" s="4">
        <v>1.5189999999999999</v>
      </c>
      <c r="AE26" s="4">
        <v>727.94</v>
      </c>
      <c r="AF26" s="5">
        <v>1.522</v>
      </c>
      <c r="AG26" s="4">
        <v>571.86699999999996</v>
      </c>
      <c r="AH26" s="4">
        <v>1.5389999999999999</v>
      </c>
      <c r="AI26" s="1">
        <v>1063.6179999999999</v>
      </c>
    </row>
    <row r="27" spans="2:35" x14ac:dyDescent="0.2">
      <c r="B27" s="4">
        <v>1.43</v>
      </c>
      <c r="C27" s="4">
        <v>147.59</v>
      </c>
      <c r="D27" s="4">
        <v>1.478</v>
      </c>
      <c r="E27" s="4">
        <v>-210.041</v>
      </c>
      <c r="F27" s="4">
        <v>1.4930000000000001</v>
      </c>
      <c r="G27" s="4">
        <v>69.91</v>
      </c>
      <c r="I27" s="4">
        <v>1.359</v>
      </c>
      <c r="J27" s="4">
        <v>-187.941</v>
      </c>
      <c r="K27" s="4">
        <v>1.3560000000000001</v>
      </c>
      <c r="L27" s="4">
        <v>83.603999999999999</v>
      </c>
      <c r="M27" s="4">
        <v>1.29</v>
      </c>
      <c r="N27" s="4">
        <v>116.53700000000001</v>
      </c>
      <c r="P27" s="4">
        <v>1.8089999999999999</v>
      </c>
      <c r="Q27" s="4">
        <v>229.19800000000001</v>
      </c>
      <c r="R27" s="4">
        <v>1.768</v>
      </c>
      <c r="S27" s="4">
        <v>527.29700000000003</v>
      </c>
      <c r="T27" s="4">
        <v>1.8109999999999999</v>
      </c>
      <c r="U27" s="4">
        <v>713.33100000000002</v>
      </c>
      <c r="W27" s="4">
        <v>1.804</v>
      </c>
      <c r="X27" s="4">
        <v>301.06599999999997</v>
      </c>
      <c r="Y27" s="4">
        <v>1.7769999999999999</v>
      </c>
      <c r="Z27" s="4">
        <v>169.97900000000001</v>
      </c>
      <c r="AA27" s="4">
        <v>1.2070000000000001</v>
      </c>
      <c r="AB27" s="4">
        <v>113.655</v>
      </c>
      <c r="AD27" s="4">
        <v>1.5169999999999999</v>
      </c>
      <c r="AE27" s="4">
        <v>757.11300000000006</v>
      </c>
      <c r="AF27" s="5">
        <v>1.522</v>
      </c>
      <c r="AG27" s="4">
        <v>578.69399999999996</v>
      </c>
      <c r="AH27" s="4">
        <v>1.538</v>
      </c>
      <c r="AI27" s="1">
        <v>1065.623</v>
      </c>
    </row>
    <row r="28" spans="2:35" x14ac:dyDescent="0.2">
      <c r="B28" s="4">
        <v>1.43</v>
      </c>
      <c r="C28" s="4">
        <v>17.073</v>
      </c>
      <c r="D28" s="4">
        <v>1.476</v>
      </c>
      <c r="E28" s="4">
        <v>23.263999999999999</v>
      </c>
      <c r="F28" s="4">
        <v>1.4930000000000001</v>
      </c>
      <c r="G28" s="4">
        <v>-105.431</v>
      </c>
      <c r="I28" s="4">
        <v>1.3580000000000001</v>
      </c>
      <c r="J28" s="4">
        <v>165.58</v>
      </c>
      <c r="K28" s="4">
        <v>1.355</v>
      </c>
      <c r="L28" s="4">
        <v>288.375</v>
      </c>
      <c r="M28" s="4">
        <v>1.29</v>
      </c>
      <c r="N28" s="4">
        <v>1.8480000000000001</v>
      </c>
      <c r="P28" s="4">
        <v>1.806</v>
      </c>
      <c r="Q28" s="4">
        <v>405.35899999999998</v>
      </c>
      <c r="R28" s="4">
        <v>1.7669999999999999</v>
      </c>
      <c r="S28" s="4">
        <v>399.12099999999998</v>
      </c>
      <c r="T28" s="4">
        <v>1.8180000000000001</v>
      </c>
      <c r="U28" s="4">
        <v>509.98599999999999</v>
      </c>
      <c r="W28" s="4">
        <v>1.8049999999999999</v>
      </c>
      <c r="X28" s="4">
        <v>132.84299999999999</v>
      </c>
      <c r="Y28" s="4">
        <v>1.776</v>
      </c>
      <c r="Z28" s="4">
        <v>55.22</v>
      </c>
      <c r="AA28" s="4">
        <v>1.2090000000000001</v>
      </c>
      <c r="AB28" s="4">
        <v>-50.213999999999999</v>
      </c>
      <c r="AD28" s="4">
        <v>1.5149999999999999</v>
      </c>
      <c r="AE28" s="4">
        <v>766.62400000000002</v>
      </c>
      <c r="AF28" s="5">
        <v>1.524</v>
      </c>
      <c r="AG28" s="4">
        <v>595.77</v>
      </c>
      <c r="AH28" s="4">
        <v>1.5389999999999999</v>
      </c>
      <c r="AI28" s="1">
        <v>1097.9110000000001</v>
      </c>
    </row>
    <row r="29" spans="2:35" x14ac:dyDescent="0.2">
      <c r="B29" s="4">
        <v>1.43</v>
      </c>
      <c r="C29" s="4">
        <v>-36.86</v>
      </c>
      <c r="D29" s="4">
        <v>1.4770000000000001</v>
      </c>
      <c r="E29" s="4">
        <v>52.9</v>
      </c>
      <c r="F29" s="4">
        <v>1.494</v>
      </c>
      <c r="G29" s="4">
        <v>-195.22399999999999</v>
      </c>
      <c r="I29" s="4">
        <v>1.3580000000000001</v>
      </c>
      <c r="J29" s="4">
        <v>79.162000000000006</v>
      </c>
      <c r="K29" s="4">
        <v>1.3580000000000001</v>
      </c>
      <c r="L29" s="4">
        <v>-277.62200000000001</v>
      </c>
      <c r="M29" s="4">
        <v>1.2889999999999999</v>
      </c>
      <c r="N29" s="4">
        <v>138.57499999999999</v>
      </c>
      <c r="P29" s="4">
        <v>1.8009999999999999</v>
      </c>
      <c r="Q29" s="4">
        <v>494.99099999999999</v>
      </c>
      <c r="R29" s="4">
        <v>1.7689999999999999</v>
      </c>
      <c r="S29" s="4">
        <v>-33.774999999999999</v>
      </c>
      <c r="T29" s="4">
        <v>1.8260000000000001</v>
      </c>
      <c r="U29" s="4">
        <v>261.07100000000003</v>
      </c>
      <c r="W29" s="4">
        <v>1.804</v>
      </c>
      <c r="X29" s="4">
        <v>-97.319000000000003</v>
      </c>
      <c r="Y29" s="4">
        <v>1.778</v>
      </c>
      <c r="Z29" s="4">
        <v>170.76400000000001</v>
      </c>
      <c r="AA29" s="4">
        <v>1.2090000000000001</v>
      </c>
      <c r="AB29" s="4">
        <v>16.164999999999999</v>
      </c>
      <c r="AD29" s="4">
        <v>1.518</v>
      </c>
      <c r="AE29" s="4">
        <v>769.73299999999995</v>
      </c>
      <c r="AF29" s="5">
        <v>1.522</v>
      </c>
      <c r="AG29" s="4">
        <v>605.14300000000003</v>
      </c>
      <c r="AH29" s="4">
        <v>1.5409999999999999</v>
      </c>
      <c r="AI29" s="1">
        <v>1118.5519999999999</v>
      </c>
    </row>
    <row r="30" spans="2:35" x14ac:dyDescent="0.2">
      <c r="B30" s="4">
        <v>1.429</v>
      </c>
      <c r="C30" s="4">
        <v>41.649000000000001</v>
      </c>
      <c r="D30" s="4">
        <v>1.4790000000000001</v>
      </c>
      <c r="E30" s="4">
        <v>-190.48400000000001</v>
      </c>
      <c r="F30" s="4">
        <v>1.494</v>
      </c>
      <c r="G30" s="4">
        <v>-235.87700000000001</v>
      </c>
      <c r="I30" s="4">
        <v>1.359</v>
      </c>
      <c r="J30" s="4">
        <v>43.5</v>
      </c>
      <c r="K30" s="4">
        <v>1.357</v>
      </c>
      <c r="L30" s="4">
        <v>-56.372</v>
      </c>
      <c r="M30" s="4">
        <v>1.2909999999999999</v>
      </c>
      <c r="N30" s="4">
        <v>-181.58199999999999</v>
      </c>
      <c r="P30" s="4">
        <v>1.798</v>
      </c>
      <c r="Q30" s="4">
        <v>557.08699999999999</v>
      </c>
      <c r="R30" s="4">
        <v>1.77</v>
      </c>
      <c r="S30" s="4">
        <v>467.52300000000002</v>
      </c>
      <c r="T30" s="4">
        <v>1.8280000000000001</v>
      </c>
      <c r="U30" s="4">
        <v>485.66800000000001</v>
      </c>
      <c r="W30" s="4">
        <v>1.8029999999999999</v>
      </c>
      <c r="X30" s="4">
        <v>-68.869</v>
      </c>
      <c r="Y30" s="4">
        <v>1.7789999999999999</v>
      </c>
      <c r="Z30" s="4">
        <v>12.766999999999999</v>
      </c>
      <c r="AA30" s="4">
        <v>1.2110000000000001</v>
      </c>
      <c r="AB30" s="4">
        <v>-48.566000000000003</v>
      </c>
      <c r="AD30" s="4">
        <v>1.5149999999999999</v>
      </c>
      <c r="AE30" s="4">
        <v>827.28700000000003</v>
      </c>
      <c r="AF30" s="5">
        <v>1.522</v>
      </c>
      <c r="AG30" s="4">
        <v>616.59100000000001</v>
      </c>
      <c r="AH30" s="4">
        <v>1.54</v>
      </c>
      <c r="AI30" s="1">
        <v>1118.8989999999999</v>
      </c>
    </row>
    <row r="31" spans="2:35" x14ac:dyDescent="0.2">
      <c r="B31" s="4">
        <v>1.4279999999999999</v>
      </c>
      <c r="C31" s="4">
        <v>-1.3640000000000001</v>
      </c>
      <c r="D31" s="4">
        <v>1.4790000000000001</v>
      </c>
      <c r="E31" s="4">
        <v>-115.01</v>
      </c>
      <c r="F31" s="4">
        <v>1.492</v>
      </c>
      <c r="G31" s="4">
        <v>135.43100000000001</v>
      </c>
      <c r="I31" s="4">
        <v>1.3580000000000001</v>
      </c>
      <c r="J31" s="4">
        <v>4.5389999999999997</v>
      </c>
      <c r="K31" s="4">
        <v>1.3580000000000001</v>
      </c>
      <c r="L31" s="4">
        <v>-235.75800000000001</v>
      </c>
      <c r="M31" s="4">
        <v>1.292</v>
      </c>
      <c r="N31" s="4">
        <v>41.348999999999997</v>
      </c>
      <c r="P31" s="4">
        <v>1.7969999999999999</v>
      </c>
      <c r="Q31" s="4">
        <v>175.23400000000001</v>
      </c>
      <c r="R31" s="4">
        <v>1.768</v>
      </c>
      <c r="S31" s="4">
        <v>286.548</v>
      </c>
      <c r="T31" s="4">
        <v>1.8320000000000001</v>
      </c>
      <c r="U31" s="4">
        <v>580.02700000000004</v>
      </c>
      <c r="W31" s="4">
        <v>1.8</v>
      </c>
      <c r="X31" s="4">
        <v>485.21600000000001</v>
      </c>
      <c r="Y31" s="4">
        <v>1.778</v>
      </c>
      <c r="Z31" s="4">
        <v>106.55</v>
      </c>
      <c r="AA31" s="4">
        <v>1.2110000000000001</v>
      </c>
      <c r="AB31" s="4">
        <v>-181.374</v>
      </c>
      <c r="AD31" s="4">
        <v>1.516</v>
      </c>
      <c r="AE31" s="4">
        <v>874.48299999999995</v>
      </c>
      <c r="AF31" s="5">
        <v>1.5249999999999999</v>
      </c>
      <c r="AG31" s="4">
        <v>625.28800000000001</v>
      </c>
      <c r="AH31" s="4">
        <v>1.5409999999999999</v>
      </c>
      <c r="AI31" s="1">
        <v>1145.9179999999999</v>
      </c>
    </row>
    <row r="32" spans="2:35" x14ac:dyDescent="0.2">
      <c r="B32" s="4">
        <v>1.43</v>
      </c>
      <c r="C32" s="4">
        <v>140.12700000000001</v>
      </c>
      <c r="D32" s="4">
        <v>1.48</v>
      </c>
      <c r="E32" s="4">
        <v>-133.44</v>
      </c>
      <c r="F32" s="4">
        <v>1.4930000000000001</v>
      </c>
      <c r="G32" s="4">
        <v>72.028999999999996</v>
      </c>
      <c r="I32" s="4">
        <v>1.359</v>
      </c>
      <c r="J32" s="4">
        <v>42.186999999999998</v>
      </c>
      <c r="K32" s="4">
        <v>1.3580000000000001</v>
      </c>
      <c r="L32" s="4">
        <v>-34.353999999999999</v>
      </c>
      <c r="M32" s="4">
        <v>1.2929999999999999</v>
      </c>
      <c r="N32" s="4">
        <v>-247.113</v>
      </c>
      <c r="P32" s="4">
        <v>1.796</v>
      </c>
      <c r="Q32" s="4">
        <v>208.601</v>
      </c>
      <c r="R32" s="4">
        <v>1.7689999999999999</v>
      </c>
      <c r="S32" s="4">
        <v>273.20999999999998</v>
      </c>
      <c r="T32" s="4">
        <v>1.8360000000000001</v>
      </c>
      <c r="U32" s="4">
        <v>595.25699999999995</v>
      </c>
      <c r="W32" s="4">
        <v>1.8009999999999999</v>
      </c>
      <c r="X32" s="4">
        <v>-29.234000000000002</v>
      </c>
      <c r="Y32" s="4">
        <v>1.782</v>
      </c>
      <c r="Z32" s="4">
        <v>-110.026</v>
      </c>
      <c r="AA32" s="4">
        <v>1.2130000000000001</v>
      </c>
      <c r="AB32" s="4">
        <v>-56.158000000000001</v>
      </c>
      <c r="AD32" s="4">
        <v>1.5189999999999999</v>
      </c>
      <c r="AE32" s="4">
        <v>918.53499999999997</v>
      </c>
      <c r="AF32" s="5">
        <v>1.5209999999999999</v>
      </c>
      <c r="AG32" s="4">
        <v>657.48099999999999</v>
      </c>
      <c r="AH32" s="6"/>
      <c r="AI32" s="2"/>
    </row>
    <row r="33" spans="2:35" x14ac:dyDescent="0.2">
      <c r="B33" s="4">
        <v>1.43</v>
      </c>
      <c r="C33" s="4">
        <v>-160.30099999999999</v>
      </c>
      <c r="D33" s="4">
        <v>1.48</v>
      </c>
      <c r="E33" s="4">
        <v>-12.723000000000001</v>
      </c>
      <c r="F33" s="4">
        <v>1.494</v>
      </c>
      <c r="G33" s="4">
        <v>-88.442999999999998</v>
      </c>
      <c r="I33" s="4">
        <v>1.3580000000000001</v>
      </c>
      <c r="J33" s="4">
        <v>279.27199999999999</v>
      </c>
      <c r="K33" s="4">
        <v>1.36</v>
      </c>
      <c r="L33" s="4">
        <v>-259.88900000000001</v>
      </c>
      <c r="M33" s="4">
        <v>1.292</v>
      </c>
      <c r="N33" s="4">
        <v>17.271000000000001</v>
      </c>
      <c r="P33" s="4">
        <v>1.794</v>
      </c>
      <c r="Q33" s="4">
        <v>254.696</v>
      </c>
      <c r="R33" s="4">
        <v>1.772</v>
      </c>
      <c r="S33" s="4">
        <v>124.494</v>
      </c>
      <c r="T33" s="4">
        <v>1.8420000000000001</v>
      </c>
      <c r="U33" s="4">
        <v>196.33600000000001</v>
      </c>
      <c r="W33" s="4">
        <v>1.7989999999999999</v>
      </c>
      <c r="X33" s="4">
        <v>-27.481999999999999</v>
      </c>
      <c r="Y33" s="4">
        <v>1.784</v>
      </c>
      <c r="Z33" s="4">
        <v>288.56299999999999</v>
      </c>
      <c r="AA33" s="4">
        <v>1.214</v>
      </c>
      <c r="AB33" s="4">
        <v>-70.683000000000007</v>
      </c>
      <c r="AD33" s="6"/>
      <c r="AF33" s="6"/>
      <c r="AH33" s="6"/>
      <c r="AI33" s="2"/>
    </row>
    <row r="34" spans="2:35" x14ac:dyDescent="0.2">
      <c r="B34" s="4">
        <v>1.429</v>
      </c>
      <c r="C34" s="4">
        <v>206.369</v>
      </c>
      <c r="D34" s="4">
        <v>1.48</v>
      </c>
      <c r="E34" s="4">
        <v>-170.86799999999999</v>
      </c>
      <c r="F34" s="4">
        <v>1.4950000000000001</v>
      </c>
      <c r="G34" s="4">
        <v>-228.126</v>
      </c>
      <c r="I34" s="4">
        <v>1.3580000000000001</v>
      </c>
      <c r="J34" s="4">
        <v>63.597000000000001</v>
      </c>
      <c r="K34" s="4">
        <v>1.36</v>
      </c>
      <c r="L34" s="4">
        <v>40.28</v>
      </c>
      <c r="M34" s="4">
        <v>1.292</v>
      </c>
      <c r="N34" s="4">
        <v>-347.23599999999999</v>
      </c>
      <c r="P34" s="4">
        <v>1.7929999999999999</v>
      </c>
      <c r="Q34" s="4">
        <v>216.80699999999999</v>
      </c>
      <c r="R34" s="4">
        <v>1.7689999999999999</v>
      </c>
      <c r="S34" s="4">
        <v>350.39</v>
      </c>
      <c r="T34" s="4">
        <v>1.843</v>
      </c>
      <c r="U34" s="4">
        <v>643.52099999999996</v>
      </c>
      <c r="W34" s="4">
        <v>1.7949999999999999</v>
      </c>
      <c r="X34" s="4">
        <v>106.33799999999999</v>
      </c>
      <c r="Y34" s="4">
        <v>1.7869999999999999</v>
      </c>
      <c r="Z34" s="4">
        <v>-186.244</v>
      </c>
      <c r="AA34" s="4">
        <v>1.2130000000000001</v>
      </c>
      <c r="AB34" s="4">
        <v>-151.62700000000001</v>
      </c>
      <c r="AD34" s="6"/>
      <c r="AF34" s="6"/>
      <c r="AH34" s="6"/>
      <c r="AI34" s="2"/>
    </row>
    <row r="35" spans="2:35" x14ac:dyDescent="0.2">
      <c r="B35" s="4">
        <v>1.429</v>
      </c>
      <c r="C35" s="4">
        <v>154.38999999999999</v>
      </c>
      <c r="D35" s="4">
        <v>1.48</v>
      </c>
      <c r="E35" s="4">
        <v>56.54</v>
      </c>
      <c r="F35" s="4">
        <v>1.494</v>
      </c>
      <c r="G35" s="4">
        <v>81.349000000000004</v>
      </c>
      <c r="I35" s="4">
        <v>1.357</v>
      </c>
      <c r="J35" s="4">
        <v>335.64699999999999</v>
      </c>
      <c r="K35" s="4">
        <v>1.36</v>
      </c>
      <c r="L35" s="4">
        <v>-125.90300000000001</v>
      </c>
      <c r="M35" s="4">
        <v>1.2949999999999999</v>
      </c>
      <c r="N35" s="4">
        <v>-707.96699999999998</v>
      </c>
      <c r="P35" s="4">
        <v>1.792</v>
      </c>
      <c r="Q35" s="4">
        <v>324.80799999999999</v>
      </c>
      <c r="R35" s="4">
        <v>1.7689999999999999</v>
      </c>
      <c r="S35" s="4">
        <v>331.77</v>
      </c>
      <c r="T35" s="4">
        <v>1.8460000000000001</v>
      </c>
      <c r="U35" s="4">
        <v>358.41199999999998</v>
      </c>
      <c r="W35" s="4">
        <v>1.7929999999999999</v>
      </c>
      <c r="X35" s="4">
        <v>258.92899999999997</v>
      </c>
      <c r="Y35" s="4">
        <v>1.7849999999999999</v>
      </c>
      <c r="Z35" s="4">
        <v>366.34899999999999</v>
      </c>
      <c r="AA35" s="4">
        <v>1.2150000000000001</v>
      </c>
      <c r="AB35" s="4">
        <v>-150.66200000000001</v>
      </c>
      <c r="AD35" s="6"/>
      <c r="AF35" s="6"/>
      <c r="AH35" s="6"/>
      <c r="AI35" s="2"/>
    </row>
    <row r="36" spans="2:35" x14ac:dyDescent="0.2">
      <c r="B36" s="4">
        <v>1.431</v>
      </c>
      <c r="C36" s="4">
        <v>-103.816</v>
      </c>
      <c r="D36" s="4">
        <v>1.48</v>
      </c>
      <c r="E36" s="4">
        <v>120.214</v>
      </c>
      <c r="F36" s="4">
        <v>1.4950000000000001</v>
      </c>
      <c r="G36" s="4">
        <v>-206.8</v>
      </c>
      <c r="I36" s="4">
        <v>1.3560000000000001</v>
      </c>
      <c r="J36" s="4">
        <v>401.86599999999999</v>
      </c>
      <c r="K36" s="4">
        <v>1.3620000000000001</v>
      </c>
      <c r="L36" s="4">
        <v>-236.30099999999999</v>
      </c>
      <c r="M36" s="4">
        <v>1.2909999999999999</v>
      </c>
      <c r="N36" s="4">
        <v>253.875</v>
      </c>
      <c r="P36" s="4">
        <v>1.7889999999999999</v>
      </c>
      <c r="Q36" s="4">
        <v>393.82299999999998</v>
      </c>
      <c r="R36" s="4">
        <v>1.7669999999999999</v>
      </c>
      <c r="S36" s="4">
        <v>493.19</v>
      </c>
      <c r="T36" s="4">
        <v>1.843</v>
      </c>
      <c r="U36" s="4">
        <v>741.125</v>
      </c>
      <c r="W36" s="4">
        <v>1.792</v>
      </c>
      <c r="X36" s="4">
        <v>51.36</v>
      </c>
      <c r="Y36" s="4">
        <v>1.7909999999999999</v>
      </c>
      <c r="Z36" s="4">
        <v>280.363</v>
      </c>
      <c r="AA36" s="4">
        <v>1.2170000000000001</v>
      </c>
      <c r="AB36" s="4">
        <v>1.7430000000000001</v>
      </c>
      <c r="AD36" s="6"/>
      <c r="AF36" s="6"/>
      <c r="AH36" s="6"/>
      <c r="AI36" s="2"/>
    </row>
    <row r="37" spans="2:35" x14ac:dyDescent="0.2">
      <c r="B37" s="4">
        <v>1.4339999999999999</v>
      </c>
      <c r="C37" s="4">
        <v>-266.66699999999997</v>
      </c>
      <c r="D37" s="4">
        <v>1.482</v>
      </c>
      <c r="E37" s="4">
        <v>8.4920000000000009</v>
      </c>
      <c r="F37" s="4">
        <v>1.496</v>
      </c>
      <c r="G37" s="4">
        <v>-150.625</v>
      </c>
      <c r="I37" s="4">
        <v>1.359</v>
      </c>
      <c r="J37" s="4">
        <v>10.387</v>
      </c>
      <c r="K37" s="4">
        <v>1.36</v>
      </c>
      <c r="L37" s="4">
        <v>-99.269000000000005</v>
      </c>
      <c r="M37" s="4">
        <v>1.3</v>
      </c>
      <c r="N37" s="4">
        <v>-10.553000000000001</v>
      </c>
      <c r="P37" s="4">
        <v>1.788</v>
      </c>
      <c r="Q37" s="4">
        <v>208.49</v>
      </c>
      <c r="R37" s="4">
        <v>1.7609999999999999</v>
      </c>
      <c r="S37" s="4">
        <v>328.56299999999999</v>
      </c>
      <c r="T37" s="4">
        <v>1.84</v>
      </c>
      <c r="U37" s="4">
        <v>572.63800000000003</v>
      </c>
      <c r="W37" s="4">
        <v>1.79</v>
      </c>
      <c r="X37" s="4">
        <v>-74.349000000000004</v>
      </c>
      <c r="Y37" s="4">
        <v>1.7889999999999999</v>
      </c>
      <c r="Z37" s="4">
        <v>168.75299999999999</v>
      </c>
      <c r="AA37" s="4">
        <v>1.2190000000000001</v>
      </c>
      <c r="AB37" s="4">
        <v>-189.447</v>
      </c>
      <c r="AD37" s="6"/>
      <c r="AF37" s="6"/>
      <c r="AH37" s="6"/>
      <c r="AI37" s="2"/>
    </row>
    <row r="38" spans="2:35" x14ac:dyDescent="0.2">
      <c r="B38" s="4">
        <v>1.4319999999999999</v>
      </c>
      <c r="C38" s="4">
        <v>-140.02099999999999</v>
      </c>
      <c r="D38" s="4">
        <v>1.482</v>
      </c>
      <c r="E38" s="4">
        <v>-84.872</v>
      </c>
      <c r="F38" s="4">
        <v>1.494</v>
      </c>
      <c r="G38" s="4">
        <v>205.06800000000001</v>
      </c>
      <c r="I38" s="4">
        <v>1.3580000000000001</v>
      </c>
      <c r="J38" s="4">
        <v>227.97399999999999</v>
      </c>
      <c r="K38" s="4">
        <v>1.361</v>
      </c>
      <c r="L38" s="4">
        <v>25.992999999999999</v>
      </c>
      <c r="M38" s="4">
        <v>1.2989999999999999</v>
      </c>
      <c r="N38" s="4">
        <v>17.995000000000001</v>
      </c>
      <c r="P38" s="4">
        <v>1.788</v>
      </c>
      <c r="Q38" s="4">
        <v>117.027</v>
      </c>
      <c r="R38" s="4">
        <v>1.76</v>
      </c>
      <c r="S38" s="4">
        <v>287.02600000000001</v>
      </c>
      <c r="T38" s="4">
        <v>1.8440000000000001</v>
      </c>
      <c r="U38" s="4">
        <v>475.63900000000001</v>
      </c>
      <c r="W38" s="4">
        <v>1.7889999999999999</v>
      </c>
      <c r="X38" s="4">
        <v>94.891000000000005</v>
      </c>
      <c r="Y38" s="4">
        <v>1.7929999999999999</v>
      </c>
      <c r="Z38" s="4">
        <v>-108.88800000000001</v>
      </c>
      <c r="AA38" s="4">
        <v>1.2210000000000001</v>
      </c>
      <c r="AB38" s="4">
        <v>-22.149000000000001</v>
      </c>
      <c r="AD38" s="6"/>
      <c r="AF38" s="6"/>
      <c r="AH38" s="6"/>
      <c r="AI38" s="2"/>
    </row>
    <row r="39" spans="2:35" x14ac:dyDescent="0.2">
      <c r="B39" s="4">
        <v>1.4319999999999999</v>
      </c>
      <c r="C39" s="4">
        <v>-34.185000000000002</v>
      </c>
      <c r="D39" s="4">
        <v>1.4830000000000001</v>
      </c>
      <c r="E39" s="4">
        <v>116.947</v>
      </c>
      <c r="F39" s="4">
        <v>1.494</v>
      </c>
      <c r="G39" s="4">
        <v>171.39099999999999</v>
      </c>
      <c r="I39" s="4">
        <v>1.357</v>
      </c>
      <c r="J39" s="4">
        <v>108.958</v>
      </c>
      <c r="K39" s="4">
        <v>1.361</v>
      </c>
      <c r="L39" s="4">
        <v>-66.275000000000006</v>
      </c>
      <c r="M39" s="4">
        <v>1.3009999999999999</v>
      </c>
      <c r="N39" s="4">
        <v>-163.18600000000001</v>
      </c>
      <c r="P39" s="4">
        <v>1.7849999999999999</v>
      </c>
      <c r="Q39" s="4">
        <v>279.077</v>
      </c>
      <c r="R39" s="4">
        <v>1.7649999999999999</v>
      </c>
      <c r="S39" s="4">
        <v>114.669</v>
      </c>
      <c r="T39" s="4">
        <v>1.8440000000000001</v>
      </c>
      <c r="U39" s="4">
        <v>701.40499999999997</v>
      </c>
      <c r="W39" s="4">
        <v>1.7869999999999999</v>
      </c>
      <c r="X39" s="4">
        <v>255.44200000000001</v>
      </c>
      <c r="Y39" s="4">
        <v>1.792</v>
      </c>
      <c r="Z39" s="4">
        <v>-18.887</v>
      </c>
      <c r="AA39" s="4">
        <v>1.2190000000000001</v>
      </c>
      <c r="AB39" s="4">
        <v>36.692999999999998</v>
      </c>
      <c r="AD39" s="6"/>
      <c r="AF39" s="6"/>
      <c r="AH39" s="6"/>
      <c r="AI39" s="2"/>
    </row>
    <row r="40" spans="2:35" x14ac:dyDescent="0.2">
      <c r="M40" s="4">
        <v>1.302</v>
      </c>
      <c r="N40" s="4">
        <v>-252.07599999999999</v>
      </c>
      <c r="P40" s="4">
        <v>1.784</v>
      </c>
      <c r="Q40" s="4">
        <v>233.685</v>
      </c>
      <c r="T40" s="4">
        <v>1.843</v>
      </c>
      <c r="U40" s="4">
        <v>476.27800000000002</v>
      </c>
      <c r="W40" s="4">
        <v>1.788</v>
      </c>
      <c r="X40" s="4">
        <v>-155.316</v>
      </c>
      <c r="Y40" s="4">
        <v>1.796</v>
      </c>
      <c r="Z40" s="4">
        <v>-160.76300000000001</v>
      </c>
      <c r="AA40" s="4">
        <v>1.2210000000000001</v>
      </c>
      <c r="AB40" s="4">
        <v>-16.323</v>
      </c>
      <c r="AD40" s="6"/>
      <c r="AF40" s="6"/>
      <c r="AH40" s="6"/>
      <c r="AI40" s="2"/>
    </row>
    <row r="41" spans="2:35" x14ac:dyDescent="0.2">
      <c r="M41" s="4">
        <v>1.302</v>
      </c>
      <c r="N41" s="4">
        <v>-9.9450000000000003</v>
      </c>
      <c r="P41" s="4">
        <v>1.7849999999999999</v>
      </c>
      <c r="Q41" s="4">
        <v>211.565</v>
      </c>
      <c r="Y41" s="4">
        <v>1.798</v>
      </c>
      <c r="Z41" s="4">
        <v>280.62700000000001</v>
      </c>
      <c r="AA41" s="4">
        <v>1.222</v>
      </c>
      <c r="AB41" s="4">
        <v>-126.47499999999999</v>
      </c>
      <c r="AD41" s="6"/>
      <c r="AF41" s="6"/>
      <c r="AH41" s="6"/>
      <c r="AI41" s="2"/>
    </row>
    <row r="42" spans="2:35" x14ac:dyDescent="0.2">
      <c r="M42" s="4">
        <v>1.304</v>
      </c>
      <c r="N42" s="4">
        <v>142.761</v>
      </c>
      <c r="P42" s="4">
        <v>1.782</v>
      </c>
      <c r="Q42" s="4">
        <v>371.65800000000002</v>
      </c>
      <c r="Y42" s="4">
        <v>1.802</v>
      </c>
      <c r="Z42" s="4">
        <v>-156.77099999999999</v>
      </c>
      <c r="AA42" s="4">
        <v>1.2230000000000001</v>
      </c>
      <c r="AB42" s="4">
        <v>-50.795000000000002</v>
      </c>
      <c r="AI42"/>
    </row>
    <row r="43" spans="2:35" x14ac:dyDescent="0.2">
      <c r="M43" s="4">
        <v>1.3089999999999999</v>
      </c>
      <c r="N43" s="4">
        <v>-24.381</v>
      </c>
      <c r="AI43"/>
    </row>
    <row r="44" spans="2:35" x14ac:dyDescent="0.2">
      <c r="M44" s="4">
        <v>1.3120000000000001</v>
      </c>
      <c r="N44" s="4">
        <v>-285.69299999999998</v>
      </c>
      <c r="AI44"/>
    </row>
    <row r="45" spans="2:35" x14ac:dyDescent="0.2">
      <c r="M45" s="4">
        <v>1.3109999999999999</v>
      </c>
      <c r="N45" s="4">
        <v>-154.47</v>
      </c>
    </row>
    <row r="46" spans="2:35" x14ac:dyDescent="0.2">
      <c r="M46" s="4">
        <v>1.3129999999999999</v>
      </c>
      <c r="N46" s="4">
        <v>-264.71899999999999</v>
      </c>
    </row>
    <row r="47" spans="2:35" x14ac:dyDescent="0.2">
      <c r="M47" s="4">
        <v>1.3160000000000001</v>
      </c>
      <c r="N47" s="4">
        <v>45.246000000000002</v>
      </c>
    </row>
    <row r="48" spans="2:35" x14ac:dyDescent="0.2">
      <c r="M48" s="6"/>
      <c r="N48" s="6"/>
    </row>
    <row r="49" spans="1:35" x14ac:dyDescent="0.2">
      <c r="A49" s="3" t="s">
        <v>30</v>
      </c>
      <c r="B49" s="3">
        <f t="shared" ref="B49:AF49" si="0">_xlfn.STDEV.S(B4:B48)</f>
        <v>2.5776819905574877E-3</v>
      </c>
      <c r="C49" s="3">
        <f t="shared" si="0"/>
        <v>140.04348585693342</v>
      </c>
      <c r="D49" s="3">
        <f t="shared" si="0"/>
        <v>6.6525445662805778E-3</v>
      </c>
      <c r="E49" s="3">
        <f t="shared" si="0"/>
        <v>134.13249509161301</v>
      </c>
      <c r="F49" s="3">
        <f t="shared" si="0"/>
        <v>3.0184617127124603E-3</v>
      </c>
      <c r="G49" s="3">
        <f t="shared" si="0"/>
        <v>181.28778765366059</v>
      </c>
      <c r="I49" s="3">
        <f t="shared" si="0"/>
        <v>1.3404571596382277E-3</v>
      </c>
      <c r="J49" s="3">
        <f t="shared" si="0"/>
        <v>170.3288460172389</v>
      </c>
      <c r="K49" s="3">
        <f t="shared" si="0"/>
        <v>2.4304614494253828E-3</v>
      </c>
      <c r="L49" s="3">
        <f t="shared" si="0"/>
        <v>142.88758107579559</v>
      </c>
      <c r="M49" s="3">
        <f t="shared" si="0"/>
        <v>9.9622967880840137E-3</v>
      </c>
      <c r="N49" s="3">
        <f t="shared" si="0"/>
        <v>202.78966811878053</v>
      </c>
      <c r="P49" s="3">
        <f t="shared" si="0"/>
        <v>3.7601684000535311E-2</v>
      </c>
      <c r="Q49" s="3">
        <f t="shared" si="0"/>
        <v>177.81961867274464</v>
      </c>
      <c r="R49" s="3">
        <f t="shared" si="0"/>
        <v>4.4182162600573264E-3</v>
      </c>
      <c r="S49" s="3">
        <f t="shared" si="0"/>
        <v>156.06288946517122</v>
      </c>
      <c r="T49" s="3">
        <f t="shared" si="0"/>
        <v>2.5761320727898399E-2</v>
      </c>
      <c r="U49" s="3">
        <f t="shared" si="0"/>
        <v>159.92192371841145</v>
      </c>
      <c r="W49" s="3">
        <f t="shared" si="0"/>
        <v>8.0398780861179638E-3</v>
      </c>
      <c r="X49" s="3">
        <f t="shared" si="0"/>
        <v>187.11967882712489</v>
      </c>
      <c r="Y49" s="3">
        <f t="shared" si="0"/>
        <v>8.8104955200625466E-3</v>
      </c>
      <c r="Z49" s="3">
        <f t="shared" si="0"/>
        <v>181.81461685678266</v>
      </c>
      <c r="AA49" s="3">
        <f t="shared" si="0"/>
        <v>5.2005657327468665E-3</v>
      </c>
      <c r="AB49" s="3">
        <f t="shared" si="0"/>
        <v>117.3757165252124</v>
      </c>
      <c r="AD49" s="3">
        <f t="shared" si="0"/>
        <v>2.6096637384127215E-3</v>
      </c>
      <c r="AE49" s="3">
        <f t="shared" si="0"/>
        <v>176.63910384407404</v>
      </c>
      <c r="AF49" s="3">
        <f t="shared" si="0"/>
        <v>3.2691271187010444E-3</v>
      </c>
      <c r="AG49" s="3">
        <f>_xlfn.STDEV.S(AG4:AG48)</f>
        <v>140.35745681989357</v>
      </c>
      <c r="AH49" s="3">
        <f>_xlfn.STDEV.S(AH4:AH32)</f>
        <v>3.6851984791443524E-3</v>
      </c>
      <c r="AI49" s="3">
        <f>_xlfn.STDEV.S(AI4:AI32)</f>
        <v>186.85284279420321</v>
      </c>
    </row>
    <row r="50" spans="1:35" x14ac:dyDescent="0.2">
      <c r="A50" s="3" t="s">
        <v>31</v>
      </c>
      <c r="B50" s="3">
        <f t="shared" ref="B50:AF50" si="1">AVERAGE(B4:B48)</f>
        <v>1.4306111111111111</v>
      </c>
      <c r="C50" s="3">
        <f t="shared" si="1"/>
        <v>35.748194444444444</v>
      </c>
      <c r="D50" s="3">
        <f t="shared" si="1"/>
        <v>1.4730277777777772</v>
      </c>
      <c r="E50" s="3">
        <f t="shared" si="1"/>
        <v>-34.02161111111112</v>
      </c>
      <c r="F50" s="3">
        <f t="shared" si="1"/>
        <v>1.4915555555555557</v>
      </c>
      <c r="G50" s="3">
        <f t="shared" si="1"/>
        <v>-14.813388888888889</v>
      </c>
      <c r="I50" s="3">
        <f t="shared" si="1"/>
        <v>1.3584444444444441</v>
      </c>
      <c r="J50" s="3">
        <f t="shared" si="1"/>
        <v>88.043416666666658</v>
      </c>
      <c r="K50" s="3">
        <f t="shared" si="1"/>
        <v>1.3564166666666664</v>
      </c>
      <c r="L50" s="3">
        <f t="shared" si="1"/>
        <v>-29.750722222222219</v>
      </c>
      <c r="M50" s="3">
        <f t="shared" si="1"/>
        <v>1.300909090909091</v>
      </c>
      <c r="N50" s="3">
        <f t="shared" si="1"/>
        <v>-47.426636363636362</v>
      </c>
      <c r="P50" s="3">
        <f t="shared" si="1"/>
        <v>1.8294615384615383</v>
      </c>
      <c r="Q50" s="3">
        <f t="shared" si="1"/>
        <v>359.85335897435897</v>
      </c>
      <c r="R50" s="3">
        <f t="shared" si="1"/>
        <v>1.7637222222222222</v>
      </c>
      <c r="S50" s="3">
        <f t="shared" si="1"/>
        <v>255.15119444444449</v>
      </c>
      <c r="T50" s="3">
        <f t="shared" si="1"/>
        <v>1.8064864864864874</v>
      </c>
      <c r="U50" s="3">
        <f t="shared" si="1"/>
        <v>451.70537837837833</v>
      </c>
      <c r="W50" s="3">
        <f t="shared" si="1"/>
        <v>1.8038378378378379</v>
      </c>
      <c r="X50" s="3">
        <f t="shared" si="1"/>
        <v>5.2335405405405462</v>
      </c>
      <c r="Y50" s="3">
        <f t="shared" si="1"/>
        <v>1.7784871794871795</v>
      </c>
      <c r="Z50" s="3">
        <f t="shared" si="1"/>
        <v>77.700102564102579</v>
      </c>
      <c r="AA50" s="3">
        <f t="shared" si="1"/>
        <v>1.2105128205128206</v>
      </c>
      <c r="AB50" s="3">
        <f t="shared" si="1"/>
        <v>-6.0693333333333319</v>
      </c>
      <c r="AD50" s="3">
        <f t="shared" si="1"/>
        <v>1.5158965517241378</v>
      </c>
      <c r="AE50" s="3">
        <f t="shared" si="1"/>
        <v>613.39986206896549</v>
      </c>
      <c r="AF50" s="3">
        <f t="shared" si="1"/>
        <v>1.5194827586206896</v>
      </c>
      <c r="AG50" s="3">
        <f>AVERAGE(AG4:AG48)</f>
        <v>619.43934482758618</v>
      </c>
      <c r="AH50" s="3">
        <f>AVERAGE(AH4:AH31)</f>
        <v>1.5356071428571423</v>
      </c>
      <c r="AI50" s="3">
        <f>AVERAGE(AI4:AI31)</f>
        <v>886.2411428571429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EF15-0FBC-4950-A2F5-1DD1568FA8EE}">
  <dimension ref="A1:AI45"/>
  <sheetViews>
    <sheetView zoomScale="80" zoomScaleNormal="80" workbookViewId="0">
      <selection activeCell="AB45" sqref="AB45"/>
    </sheetView>
  </sheetViews>
  <sheetFormatPr defaultRowHeight="15" x14ac:dyDescent="0.2"/>
  <cols>
    <col min="1" max="1" width="10.875" style="3" customWidth="1"/>
    <col min="2" max="2" width="9" style="3"/>
    <col min="3" max="3" width="11.25" style="3" customWidth="1"/>
    <col min="4" max="4" width="9" style="3"/>
    <col min="5" max="5" width="10.75" style="3" customWidth="1"/>
    <col min="6" max="16384" width="9" style="3"/>
  </cols>
  <sheetData>
    <row r="1" spans="1:35" x14ac:dyDescent="0.2">
      <c r="A1" s="13" t="s">
        <v>34</v>
      </c>
    </row>
    <row r="2" spans="1:35" x14ac:dyDescent="0.2">
      <c r="A2" s="3" t="s">
        <v>8</v>
      </c>
      <c r="B2" s="4" t="s">
        <v>9</v>
      </c>
      <c r="C2" s="4"/>
      <c r="D2" s="4" t="s">
        <v>0</v>
      </c>
      <c r="E2" s="4"/>
      <c r="F2" s="4" t="s">
        <v>1</v>
      </c>
      <c r="G2" s="4"/>
      <c r="I2" s="4" t="s">
        <v>10</v>
      </c>
      <c r="J2" s="4"/>
      <c r="K2" s="4" t="s">
        <v>11</v>
      </c>
      <c r="L2" s="4"/>
      <c r="M2" s="4" t="s">
        <v>12</v>
      </c>
      <c r="N2" s="4"/>
      <c r="P2" s="4" t="s">
        <v>2</v>
      </c>
      <c r="Q2" s="4"/>
      <c r="R2" s="4" t="s">
        <v>3</v>
      </c>
      <c r="S2" s="4"/>
      <c r="T2" s="5" t="s">
        <v>4</v>
      </c>
      <c r="U2" s="4"/>
      <c r="V2" s="6"/>
      <c r="W2" s="4" t="s">
        <v>5</v>
      </c>
      <c r="X2" s="7"/>
      <c r="Y2" s="4" t="s">
        <v>6</v>
      </c>
      <c r="Z2" s="4"/>
      <c r="AA2" s="4" t="s">
        <v>7</v>
      </c>
      <c r="AB2" s="4"/>
      <c r="AD2" s="4" t="s">
        <v>13</v>
      </c>
      <c r="AE2" s="4"/>
      <c r="AF2" s="4" t="s">
        <v>14</v>
      </c>
      <c r="AG2" s="4"/>
      <c r="AH2" s="4" t="s">
        <v>15</v>
      </c>
      <c r="AI2" s="4"/>
    </row>
    <row r="3" spans="1:35" s="8" customFormat="1" ht="15.75" x14ac:dyDescent="0.2">
      <c r="B3" s="9" t="s">
        <v>29</v>
      </c>
      <c r="C3" s="9" t="s">
        <v>32</v>
      </c>
      <c r="D3" s="9" t="s">
        <v>29</v>
      </c>
      <c r="E3" s="9" t="s">
        <v>32</v>
      </c>
      <c r="F3" s="9" t="s">
        <v>29</v>
      </c>
      <c r="G3" s="9" t="s">
        <v>32</v>
      </c>
      <c r="I3" s="9" t="s">
        <v>29</v>
      </c>
      <c r="J3" s="9" t="s">
        <v>32</v>
      </c>
      <c r="K3" s="9" t="s">
        <v>29</v>
      </c>
      <c r="L3" s="9" t="s">
        <v>32</v>
      </c>
      <c r="M3" s="9" t="s">
        <v>29</v>
      </c>
      <c r="N3" s="9" t="s">
        <v>32</v>
      </c>
      <c r="P3" s="9" t="s">
        <v>29</v>
      </c>
      <c r="Q3" s="9" t="s">
        <v>32</v>
      </c>
      <c r="R3" s="9" t="s">
        <v>29</v>
      </c>
      <c r="S3" s="9" t="s">
        <v>32</v>
      </c>
      <c r="T3" s="10" t="s">
        <v>29</v>
      </c>
      <c r="U3" s="9" t="s">
        <v>32</v>
      </c>
      <c r="V3" s="11"/>
      <c r="W3" s="9" t="s">
        <v>29</v>
      </c>
      <c r="X3" s="12" t="s">
        <v>32</v>
      </c>
      <c r="Y3" s="9" t="s">
        <v>29</v>
      </c>
      <c r="Z3" s="9" t="s">
        <v>32</v>
      </c>
      <c r="AA3" s="9" t="s">
        <v>29</v>
      </c>
      <c r="AB3" s="9" t="s">
        <v>32</v>
      </c>
      <c r="AD3" s="9" t="s">
        <v>29</v>
      </c>
      <c r="AE3" s="9" t="s">
        <v>32</v>
      </c>
      <c r="AF3" s="9" t="s">
        <v>29</v>
      </c>
      <c r="AG3" s="9" t="s">
        <v>32</v>
      </c>
      <c r="AH3" s="9" t="s">
        <v>29</v>
      </c>
      <c r="AI3" s="9" t="s">
        <v>32</v>
      </c>
    </row>
    <row r="4" spans="1:35" x14ac:dyDescent="0.2">
      <c r="B4" s="4">
        <v>1.256</v>
      </c>
      <c r="C4" s="4">
        <v>510.48399999999998</v>
      </c>
      <c r="D4" s="4">
        <v>1.1930000000000001</v>
      </c>
      <c r="E4" s="4">
        <v>323.24599999999998</v>
      </c>
      <c r="F4" s="4">
        <v>1.181</v>
      </c>
      <c r="G4" s="4">
        <v>397.46300000000002</v>
      </c>
      <c r="I4" s="4">
        <v>1.1359999999999999</v>
      </c>
      <c r="J4" s="4">
        <v>65.646000000000001</v>
      </c>
      <c r="K4" s="4">
        <v>1.25</v>
      </c>
      <c r="L4" s="4">
        <v>426.99299999999999</v>
      </c>
      <c r="M4" s="4">
        <v>1.298</v>
      </c>
      <c r="N4" s="4">
        <v>609.86400000000003</v>
      </c>
      <c r="P4" s="4">
        <v>1.409</v>
      </c>
      <c r="Q4" s="4">
        <v>331.09199999999998</v>
      </c>
      <c r="R4" s="4">
        <v>1.4339999999999999</v>
      </c>
      <c r="S4" s="4">
        <v>163.107</v>
      </c>
      <c r="T4" s="5">
        <v>1.4530000000000001</v>
      </c>
      <c r="U4" s="4">
        <v>485.04300000000001</v>
      </c>
      <c r="V4" s="6"/>
      <c r="W4" s="4">
        <v>1.8109999999999999</v>
      </c>
      <c r="X4" s="7">
        <v>1145.4590000000001</v>
      </c>
      <c r="Y4" s="4">
        <v>1.845</v>
      </c>
      <c r="Z4" s="4">
        <v>940.50900000000001</v>
      </c>
      <c r="AA4" s="4">
        <v>1.927</v>
      </c>
      <c r="AB4" s="4">
        <v>790.375</v>
      </c>
      <c r="AD4" s="4">
        <v>1.39</v>
      </c>
      <c r="AE4" s="4">
        <v>996.14200000000005</v>
      </c>
      <c r="AF4" s="4">
        <v>1.3819999999999999</v>
      </c>
      <c r="AG4" s="4">
        <v>731.93100000000004</v>
      </c>
      <c r="AH4" s="4">
        <v>1.4419999999999999</v>
      </c>
      <c r="AI4" s="4">
        <v>663.94899999999996</v>
      </c>
    </row>
    <row r="5" spans="1:35" x14ac:dyDescent="0.2">
      <c r="B5" s="4">
        <v>1.2529999999999999</v>
      </c>
      <c r="C5" s="4">
        <v>298.10899999999998</v>
      </c>
      <c r="D5" s="4">
        <v>1.1950000000000001</v>
      </c>
      <c r="E5" s="4">
        <v>217.75</v>
      </c>
      <c r="F5" s="4">
        <v>1.1819999999999999</v>
      </c>
      <c r="G5" s="4">
        <v>501.85199999999998</v>
      </c>
      <c r="I5" s="4">
        <v>1.1439999999999999</v>
      </c>
      <c r="J5" s="4">
        <v>132.93299999999999</v>
      </c>
      <c r="K5" s="4">
        <v>1.2509999999999999</v>
      </c>
      <c r="L5" s="4">
        <v>539.20600000000002</v>
      </c>
      <c r="M5" s="4">
        <v>1.298</v>
      </c>
      <c r="N5" s="4">
        <v>754.35199999999998</v>
      </c>
      <c r="P5" s="4">
        <v>1.409</v>
      </c>
      <c r="Q5" s="4">
        <v>287.85000000000002</v>
      </c>
      <c r="R5" s="4">
        <v>1.4319999999999999</v>
      </c>
      <c r="S5" s="4">
        <v>246.61099999999999</v>
      </c>
      <c r="T5" s="5">
        <v>1.452</v>
      </c>
      <c r="U5" s="4">
        <v>836.17399999999998</v>
      </c>
      <c r="V5" s="6"/>
      <c r="W5" s="4">
        <v>1.8089999999999999</v>
      </c>
      <c r="X5" s="7">
        <v>1324.508</v>
      </c>
      <c r="Y5" s="4">
        <v>1.8420000000000001</v>
      </c>
      <c r="Z5" s="4">
        <v>966.66</v>
      </c>
      <c r="AA5" s="4">
        <v>1.9259999999999999</v>
      </c>
      <c r="AB5" s="4">
        <v>762.25300000000004</v>
      </c>
      <c r="AD5" s="4">
        <v>1.389</v>
      </c>
      <c r="AE5" s="4">
        <v>927.79200000000003</v>
      </c>
      <c r="AF5" s="4">
        <v>1.3839999999999999</v>
      </c>
      <c r="AG5" s="4">
        <v>498.67200000000003</v>
      </c>
      <c r="AH5" s="4">
        <v>1.4450000000000001</v>
      </c>
      <c r="AI5" s="4">
        <v>659.76300000000003</v>
      </c>
    </row>
    <row r="6" spans="1:35" x14ac:dyDescent="0.2">
      <c r="B6" s="4">
        <v>1.248</v>
      </c>
      <c r="C6" s="4">
        <v>643.99300000000005</v>
      </c>
      <c r="D6" s="4">
        <v>1.1930000000000001</v>
      </c>
      <c r="E6" s="4">
        <v>268.88799999999998</v>
      </c>
      <c r="F6" s="4">
        <v>1.1830000000000001</v>
      </c>
      <c r="G6" s="4">
        <v>481.952</v>
      </c>
      <c r="I6" s="4">
        <v>1.153</v>
      </c>
      <c r="J6" s="4">
        <v>288.15899999999999</v>
      </c>
      <c r="K6" s="4">
        <v>1.252</v>
      </c>
      <c r="L6" s="4">
        <v>492.11799999999999</v>
      </c>
      <c r="M6" s="4">
        <v>1.3</v>
      </c>
      <c r="N6" s="4">
        <v>443.16399999999999</v>
      </c>
      <c r="P6" s="4">
        <v>1.4079999999999999</v>
      </c>
      <c r="Q6" s="4">
        <v>707.23800000000006</v>
      </c>
      <c r="R6" s="4">
        <v>1.4339999999999999</v>
      </c>
      <c r="S6" s="4">
        <v>489.02699999999999</v>
      </c>
      <c r="T6" s="5">
        <v>1.4530000000000001</v>
      </c>
      <c r="U6" s="4">
        <v>590.00400000000002</v>
      </c>
      <c r="V6" s="6"/>
      <c r="W6" s="4">
        <v>1.8109999999999999</v>
      </c>
      <c r="X6" s="7">
        <v>1316.596</v>
      </c>
      <c r="Y6" s="4">
        <v>1.8420000000000001</v>
      </c>
      <c r="Z6" s="4">
        <v>952.64400000000001</v>
      </c>
      <c r="AA6" s="4">
        <v>1.927</v>
      </c>
      <c r="AB6" s="4">
        <v>726.66600000000005</v>
      </c>
      <c r="AD6" s="4">
        <v>1.391</v>
      </c>
      <c r="AE6" s="4">
        <v>858.00599999999997</v>
      </c>
      <c r="AF6" s="4">
        <v>1.3859999999999999</v>
      </c>
      <c r="AG6" s="4">
        <v>601.38199999999995</v>
      </c>
      <c r="AH6" s="4">
        <v>1.446</v>
      </c>
      <c r="AI6" s="4">
        <v>848.03</v>
      </c>
    </row>
    <row r="7" spans="1:35" x14ac:dyDescent="0.2">
      <c r="B7" s="4">
        <v>1.246</v>
      </c>
      <c r="C7" s="4">
        <v>710.41899999999998</v>
      </c>
      <c r="D7" s="4">
        <v>1.1950000000000001</v>
      </c>
      <c r="E7" s="4">
        <v>135.953</v>
      </c>
      <c r="F7" s="4">
        <v>1.1850000000000001</v>
      </c>
      <c r="G7" s="4">
        <v>601.99300000000005</v>
      </c>
      <c r="I7" s="4">
        <v>1.159</v>
      </c>
      <c r="J7" s="4">
        <v>32.662999999999997</v>
      </c>
      <c r="K7" s="4">
        <v>1.254</v>
      </c>
      <c r="L7" s="4">
        <v>632.55799999999999</v>
      </c>
      <c r="M7" s="4">
        <v>1.2989999999999999</v>
      </c>
      <c r="N7" s="4">
        <v>447.83800000000002</v>
      </c>
      <c r="P7" s="4">
        <v>1.409</v>
      </c>
      <c r="Q7" s="4">
        <v>315.50200000000001</v>
      </c>
      <c r="R7" s="4">
        <v>1.4339999999999999</v>
      </c>
      <c r="S7" s="4">
        <v>356.89800000000002</v>
      </c>
      <c r="T7" s="5">
        <v>1.4530000000000001</v>
      </c>
      <c r="U7" s="4">
        <v>539.39099999999996</v>
      </c>
      <c r="V7" s="6"/>
      <c r="W7" s="4">
        <v>1.8120000000000001</v>
      </c>
      <c r="X7" s="7">
        <v>977.31100000000004</v>
      </c>
      <c r="Y7" s="4">
        <v>1.8440000000000001</v>
      </c>
      <c r="Z7" s="4">
        <v>1009.648</v>
      </c>
      <c r="AA7" s="4">
        <v>1.927</v>
      </c>
      <c r="AB7" s="4">
        <v>847.16600000000005</v>
      </c>
      <c r="AD7" s="4">
        <v>1.39</v>
      </c>
      <c r="AE7" s="4">
        <v>902.47199999999998</v>
      </c>
      <c r="AF7" s="4">
        <v>1.385</v>
      </c>
      <c r="AG7" s="4">
        <v>559.49199999999996</v>
      </c>
      <c r="AH7" s="4">
        <v>1.446</v>
      </c>
      <c r="AI7" s="4">
        <v>681.59500000000003</v>
      </c>
    </row>
    <row r="8" spans="1:35" x14ac:dyDescent="0.2">
      <c r="B8" s="4">
        <v>1.2470000000000001</v>
      </c>
      <c r="C8" s="4">
        <v>172.31800000000001</v>
      </c>
      <c r="D8" s="4">
        <v>1.1950000000000001</v>
      </c>
      <c r="E8" s="4">
        <v>509.79700000000003</v>
      </c>
      <c r="F8" s="4">
        <v>1.1859999999999999</v>
      </c>
      <c r="G8" s="4">
        <v>621.279</v>
      </c>
      <c r="I8" s="4">
        <v>1.163</v>
      </c>
      <c r="J8" s="4">
        <v>320.04899999999998</v>
      </c>
      <c r="K8" s="4">
        <v>1.2549999999999999</v>
      </c>
      <c r="L8" s="4">
        <v>765.63699999999994</v>
      </c>
      <c r="M8" s="4">
        <v>1.298</v>
      </c>
      <c r="N8" s="4">
        <v>724.57600000000002</v>
      </c>
      <c r="P8" s="4">
        <v>1.4079999999999999</v>
      </c>
      <c r="Q8" s="4">
        <v>309.27699999999999</v>
      </c>
      <c r="R8" s="4">
        <v>1.4339999999999999</v>
      </c>
      <c r="S8" s="4">
        <v>420.07600000000002</v>
      </c>
      <c r="T8" s="5">
        <v>1.4550000000000001</v>
      </c>
      <c r="U8" s="4">
        <v>532.59699999999998</v>
      </c>
      <c r="V8" s="6"/>
      <c r="W8" s="4">
        <v>1.8089999999999999</v>
      </c>
      <c r="X8" s="7">
        <v>1347.2329999999999</v>
      </c>
      <c r="Y8" s="4">
        <v>1.845</v>
      </c>
      <c r="Z8" s="4">
        <v>857.12400000000002</v>
      </c>
      <c r="AA8" s="4">
        <v>1.927</v>
      </c>
      <c r="AB8" s="4">
        <v>929.78200000000004</v>
      </c>
      <c r="AD8" s="4">
        <v>1.391</v>
      </c>
      <c r="AE8" s="4">
        <v>900.64499999999998</v>
      </c>
      <c r="AF8" s="4">
        <v>1.3839999999999999</v>
      </c>
      <c r="AG8" s="4">
        <v>850.74599999999998</v>
      </c>
      <c r="AH8" s="4">
        <v>1.4470000000000001</v>
      </c>
      <c r="AI8" s="4">
        <v>790.20899999999995</v>
      </c>
    </row>
    <row r="9" spans="1:35" x14ac:dyDescent="0.2">
      <c r="B9" s="4">
        <v>1.2410000000000001</v>
      </c>
      <c r="C9" s="4">
        <v>625.15</v>
      </c>
      <c r="D9" s="4">
        <v>1.194</v>
      </c>
      <c r="E9" s="4">
        <v>465.33499999999998</v>
      </c>
      <c r="F9" s="4">
        <v>1.1890000000000001</v>
      </c>
      <c r="G9" s="4">
        <v>605.49199999999996</v>
      </c>
      <c r="I9" s="4">
        <v>1.1679999999999999</v>
      </c>
      <c r="J9" s="4">
        <v>475.3</v>
      </c>
      <c r="K9" s="4">
        <v>1.2569999999999999</v>
      </c>
      <c r="L9" s="4">
        <v>528.32299999999998</v>
      </c>
      <c r="M9" s="4">
        <v>1.3</v>
      </c>
      <c r="N9" s="4">
        <v>709.22299999999996</v>
      </c>
      <c r="P9" s="4">
        <v>1.409</v>
      </c>
      <c r="Q9" s="4">
        <v>275.01799999999997</v>
      </c>
      <c r="R9" s="4">
        <v>1.4350000000000001</v>
      </c>
      <c r="S9" s="4">
        <v>159.14400000000001</v>
      </c>
      <c r="T9" s="5">
        <v>1.454</v>
      </c>
      <c r="U9" s="4">
        <v>585.40200000000004</v>
      </c>
      <c r="V9" s="6"/>
      <c r="W9" s="4">
        <v>1.81</v>
      </c>
      <c r="X9" s="7">
        <v>1262.71</v>
      </c>
      <c r="Y9" s="4">
        <v>1.845</v>
      </c>
      <c r="Z9" s="4">
        <v>1040.22</v>
      </c>
      <c r="AA9" s="4">
        <v>1.9279999999999999</v>
      </c>
      <c r="AB9" s="4">
        <v>861.28</v>
      </c>
      <c r="AD9" s="4">
        <v>1.39</v>
      </c>
      <c r="AE9" s="4">
        <v>977.26900000000001</v>
      </c>
      <c r="AF9" s="4">
        <v>1.3879999999999999</v>
      </c>
      <c r="AG9" s="4">
        <v>482.58</v>
      </c>
      <c r="AH9" s="4">
        <v>1.45</v>
      </c>
      <c r="AI9" s="4">
        <v>893.94299999999998</v>
      </c>
    </row>
    <row r="10" spans="1:35" x14ac:dyDescent="0.2">
      <c r="B10" s="4">
        <v>1.2410000000000001</v>
      </c>
      <c r="C10" s="4">
        <v>492.30700000000002</v>
      </c>
      <c r="D10" s="4">
        <v>1.1930000000000001</v>
      </c>
      <c r="E10" s="4">
        <v>436.69400000000002</v>
      </c>
      <c r="F10" s="4">
        <v>1.1910000000000001</v>
      </c>
      <c r="G10" s="4">
        <v>446.57</v>
      </c>
      <c r="I10" s="4">
        <v>1.171</v>
      </c>
      <c r="J10" s="4">
        <v>593.88800000000003</v>
      </c>
      <c r="K10" s="4">
        <v>1.2569999999999999</v>
      </c>
      <c r="L10" s="4">
        <v>566.44399999999996</v>
      </c>
      <c r="M10" s="4">
        <v>1.302</v>
      </c>
      <c r="N10" s="4">
        <v>369.69400000000002</v>
      </c>
      <c r="P10" s="4">
        <v>1.41</v>
      </c>
      <c r="Q10" s="4">
        <v>221.78700000000001</v>
      </c>
      <c r="R10" s="4">
        <v>1.4359999999999999</v>
      </c>
      <c r="S10" s="4">
        <v>186.702</v>
      </c>
      <c r="T10" s="5">
        <v>1.4570000000000001</v>
      </c>
      <c r="U10" s="4">
        <v>481.58499999999998</v>
      </c>
      <c r="V10" s="6"/>
      <c r="W10" s="4">
        <v>1.8109999999999999</v>
      </c>
      <c r="X10" s="7">
        <v>1036.258</v>
      </c>
      <c r="Y10" s="4">
        <v>1.845</v>
      </c>
      <c r="Z10" s="4">
        <v>1284.203</v>
      </c>
      <c r="AA10" s="4">
        <v>1.929</v>
      </c>
      <c r="AB10" s="4">
        <v>826.48099999999999</v>
      </c>
      <c r="AD10" s="4">
        <v>1.391</v>
      </c>
      <c r="AE10" s="4">
        <v>1018.579</v>
      </c>
      <c r="AF10" s="4">
        <v>1.3859999999999999</v>
      </c>
      <c r="AG10" s="4">
        <v>607.46600000000001</v>
      </c>
      <c r="AH10" s="4">
        <v>1.452</v>
      </c>
      <c r="AI10" s="4">
        <v>550.84799999999996</v>
      </c>
    </row>
    <row r="11" spans="1:35" x14ac:dyDescent="0.2">
      <c r="B11" s="4">
        <v>1.2370000000000001</v>
      </c>
      <c r="C11" s="4">
        <v>157.25200000000001</v>
      </c>
      <c r="D11" s="4">
        <v>1.1950000000000001</v>
      </c>
      <c r="E11" s="4">
        <v>314.51</v>
      </c>
      <c r="F11" s="4">
        <v>1.1910000000000001</v>
      </c>
      <c r="G11" s="4">
        <v>509.53800000000001</v>
      </c>
      <c r="I11" s="4">
        <v>1.175</v>
      </c>
      <c r="J11" s="4">
        <v>567.75699999999995</v>
      </c>
      <c r="K11" s="4">
        <v>1.258</v>
      </c>
      <c r="L11" s="4">
        <v>523.43600000000004</v>
      </c>
      <c r="M11" s="4">
        <v>1.3009999999999999</v>
      </c>
      <c r="N11" s="4">
        <v>583.79899999999998</v>
      </c>
      <c r="P11" s="4">
        <v>1.409</v>
      </c>
      <c r="Q11" s="4">
        <v>383.75299999999999</v>
      </c>
      <c r="R11" s="4">
        <v>1.4379999999999999</v>
      </c>
      <c r="S11" s="4">
        <v>322.608</v>
      </c>
      <c r="T11" s="5">
        <v>1.456</v>
      </c>
      <c r="U11" s="4">
        <v>478.46699999999998</v>
      </c>
      <c r="V11" s="6"/>
      <c r="W11" s="4">
        <v>1.8109999999999999</v>
      </c>
      <c r="X11" s="7">
        <v>1177.07</v>
      </c>
      <c r="Y11" s="4">
        <v>1.845</v>
      </c>
      <c r="Z11" s="4">
        <v>1111.0070000000001</v>
      </c>
      <c r="AA11" s="4">
        <v>1.929</v>
      </c>
      <c r="AB11" s="4">
        <v>750.64300000000003</v>
      </c>
      <c r="AD11" s="4">
        <v>1.3919999999999999</v>
      </c>
      <c r="AE11" s="4">
        <v>859.96299999999997</v>
      </c>
      <c r="AF11" s="4">
        <v>1.387</v>
      </c>
      <c r="AG11" s="4">
        <v>630.43799999999999</v>
      </c>
      <c r="AH11" s="4">
        <v>1.4510000000000001</v>
      </c>
      <c r="AI11" s="4">
        <v>751.25400000000002</v>
      </c>
    </row>
    <row r="12" spans="1:35" x14ac:dyDescent="0.2">
      <c r="B12" s="4">
        <v>1.232</v>
      </c>
      <c r="C12" s="4">
        <v>219.22399999999999</v>
      </c>
      <c r="D12" s="4">
        <v>1.1950000000000001</v>
      </c>
      <c r="E12" s="4">
        <v>353.59</v>
      </c>
      <c r="F12" s="4">
        <v>1.194</v>
      </c>
      <c r="G12" s="4">
        <v>561.12699999999995</v>
      </c>
      <c r="I12" s="4">
        <v>1.1779999999999999</v>
      </c>
      <c r="J12" s="4">
        <v>505.48700000000002</v>
      </c>
      <c r="K12" s="4">
        <v>1.2609999999999999</v>
      </c>
      <c r="L12" s="4">
        <v>584.27099999999996</v>
      </c>
      <c r="M12" s="4">
        <v>1.3029999999999999</v>
      </c>
      <c r="N12" s="4">
        <v>725.26599999999996</v>
      </c>
      <c r="P12" s="4">
        <v>1.4119999999999999</v>
      </c>
      <c r="Q12" s="4">
        <v>219.38900000000001</v>
      </c>
      <c r="R12" s="4">
        <v>1.4379999999999999</v>
      </c>
      <c r="S12" s="4">
        <v>373.78</v>
      </c>
      <c r="T12" s="5">
        <v>1.4550000000000001</v>
      </c>
      <c r="U12" s="4">
        <v>645.18700000000001</v>
      </c>
      <c r="V12" s="6"/>
      <c r="W12" s="4">
        <v>1.81</v>
      </c>
      <c r="X12" s="7">
        <v>1164.097</v>
      </c>
      <c r="Y12" s="4">
        <v>1.8460000000000001</v>
      </c>
      <c r="Z12" s="4">
        <v>999.29300000000001</v>
      </c>
      <c r="AA12" s="4">
        <v>1.93</v>
      </c>
      <c r="AB12" s="4">
        <v>856.82899999999995</v>
      </c>
      <c r="AD12" s="4">
        <v>1.39</v>
      </c>
      <c r="AE12" s="4">
        <v>858.38099999999997</v>
      </c>
      <c r="AF12" s="4">
        <v>1.3879999999999999</v>
      </c>
      <c r="AG12" s="4">
        <v>516.07899999999995</v>
      </c>
      <c r="AH12" s="4">
        <v>1.4530000000000001</v>
      </c>
      <c r="AI12" s="4">
        <v>941.077</v>
      </c>
    </row>
    <row r="13" spans="1:35" x14ac:dyDescent="0.2">
      <c r="B13" s="4">
        <v>1.232</v>
      </c>
      <c r="C13" s="4">
        <v>538.59199999999998</v>
      </c>
      <c r="D13" s="4">
        <v>1.1950000000000001</v>
      </c>
      <c r="E13" s="4">
        <v>696.47699999999998</v>
      </c>
      <c r="F13" s="4">
        <v>1.198</v>
      </c>
      <c r="G13" s="4">
        <v>342.16300000000001</v>
      </c>
      <c r="I13" s="4">
        <v>1.1819999999999999</v>
      </c>
      <c r="J13" s="4">
        <v>571.46799999999996</v>
      </c>
      <c r="K13" s="4">
        <v>1.262</v>
      </c>
      <c r="L13" s="4">
        <v>424.41699999999997</v>
      </c>
      <c r="M13" s="4">
        <v>1.3029999999999999</v>
      </c>
      <c r="N13" s="4">
        <v>700.79300000000001</v>
      </c>
      <c r="P13" s="4">
        <v>1.413</v>
      </c>
      <c r="Q13" s="4">
        <v>330.64299999999997</v>
      </c>
      <c r="R13" s="4">
        <v>1.4359999999999999</v>
      </c>
      <c r="S13" s="4">
        <v>565.70799999999997</v>
      </c>
      <c r="T13" s="5">
        <v>1.456</v>
      </c>
      <c r="U13" s="4">
        <v>661.12199999999996</v>
      </c>
      <c r="V13" s="6"/>
      <c r="W13" s="4">
        <v>1.8089999999999999</v>
      </c>
      <c r="X13" s="7">
        <v>1213.133</v>
      </c>
      <c r="Y13" s="4">
        <v>1.847</v>
      </c>
      <c r="Z13" s="4">
        <v>1112.8879999999999</v>
      </c>
      <c r="AA13" s="4">
        <v>1.93</v>
      </c>
      <c r="AB13" s="4">
        <v>711.16600000000005</v>
      </c>
      <c r="AD13" s="4">
        <v>1.391</v>
      </c>
      <c r="AE13" s="4">
        <v>859.67</v>
      </c>
      <c r="AF13" s="4">
        <v>1.389</v>
      </c>
      <c r="AG13" s="4">
        <v>827.25300000000004</v>
      </c>
      <c r="AH13" s="4">
        <v>1.454</v>
      </c>
      <c r="AI13" s="4">
        <v>793.88499999999999</v>
      </c>
    </row>
    <row r="14" spans="1:35" x14ac:dyDescent="0.2">
      <c r="B14" s="4">
        <v>1.2290000000000001</v>
      </c>
      <c r="C14" s="4">
        <v>443.25799999999998</v>
      </c>
      <c r="D14" s="4">
        <v>1.196</v>
      </c>
      <c r="E14" s="4">
        <v>596.40099999999995</v>
      </c>
      <c r="F14" s="4">
        <v>1.198</v>
      </c>
      <c r="G14" s="4">
        <v>528.37300000000005</v>
      </c>
      <c r="I14" s="4">
        <v>1.1850000000000001</v>
      </c>
      <c r="J14" s="4">
        <v>527.71400000000006</v>
      </c>
      <c r="K14" s="4">
        <v>1.262</v>
      </c>
      <c r="L14" s="4">
        <v>563.22199999999998</v>
      </c>
      <c r="M14" s="4">
        <v>1.3049999999999999</v>
      </c>
      <c r="N14" s="4">
        <v>542.16999999999996</v>
      </c>
      <c r="P14" s="4">
        <v>1.411</v>
      </c>
      <c r="Q14" s="4">
        <v>502.29899999999998</v>
      </c>
      <c r="R14" s="4">
        <v>1.4379999999999999</v>
      </c>
      <c r="S14" s="4">
        <v>231.09299999999999</v>
      </c>
      <c r="T14" s="5">
        <v>1.4570000000000001</v>
      </c>
      <c r="U14" s="4">
        <v>489.07499999999999</v>
      </c>
      <c r="V14" s="6"/>
      <c r="W14" s="4">
        <v>1.8109999999999999</v>
      </c>
      <c r="X14" s="7">
        <v>1091.941</v>
      </c>
      <c r="Y14" s="4">
        <v>1.8440000000000001</v>
      </c>
      <c r="Z14" s="4">
        <v>1088.771</v>
      </c>
      <c r="AA14" s="4">
        <v>1.9339999999999999</v>
      </c>
      <c r="AB14" s="4">
        <v>749.68700000000001</v>
      </c>
      <c r="AD14" s="4">
        <v>1.3939999999999999</v>
      </c>
      <c r="AE14" s="4">
        <v>797.30100000000004</v>
      </c>
      <c r="AF14" s="4">
        <v>1.39</v>
      </c>
      <c r="AG14" s="4">
        <v>444.76600000000002</v>
      </c>
      <c r="AH14" s="4">
        <v>1.4550000000000001</v>
      </c>
      <c r="AI14" s="4">
        <v>774.97900000000004</v>
      </c>
    </row>
    <row r="15" spans="1:35" x14ac:dyDescent="0.2">
      <c r="B15" s="4">
        <v>1.2270000000000001</v>
      </c>
      <c r="C15" s="4">
        <v>198.34200000000001</v>
      </c>
      <c r="D15" s="4">
        <v>1.198</v>
      </c>
      <c r="E15" s="4">
        <v>276.37700000000001</v>
      </c>
      <c r="F15" s="4">
        <v>1.2010000000000001</v>
      </c>
      <c r="G15" s="4">
        <v>414.85</v>
      </c>
      <c r="I15" s="4">
        <v>1.1870000000000001</v>
      </c>
      <c r="J15" s="4">
        <v>565.62199999999996</v>
      </c>
      <c r="K15" s="4">
        <v>1.264</v>
      </c>
      <c r="L15" s="4">
        <v>469.36900000000003</v>
      </c>
      <c r="M15" s="4">
        <v>1.304</v>
      </c>
      <c r="N15" s="4">
        <v>633.00400000000002</v>
      </c>
      <c r="P15" s="4">
        <v>1.413</v>
      </c>
      <c r="Q15" s="4">
        <v>542.36300000000006</v>
      </c>
      <c r="R15" s="4">
        <v>1.44</v>
      </c>
      <c r="S15" s="4">
        <v>256.89100000000002</v>
      </c>
      <c r="T15" s="5">
        <v>1.4590000000000001</v>
      </c>
      <c r="U15" s="4">
        <v>449.06799999999998</v>
      </c>
      <c r="V15" s="6"/>
      <c r="W15" s="4">
        <v>1.8120000000000001</v>
      </c>
      <c r="X15" s="7">
        <v>1102.114</v>
      </c>
      <c r="Y15" s="4">
        <v>1.849</v>
      </c>
      <c r="Z15" s="4">
        <v>877.75199999999995</v>
      </c>
      <c r="AA15" s="4">
        <v>1.9330000000000001</v>
      </c>
      <c r="AB15" s="4">
        <v>651.80399999999997</v>
      </c>
      <c r="AD15" s="4">
        <v>1.395</v>
      </c>
      <c r="AE15" s="4">
        <v>505.78500000000003</v>
      </c>
      <c r="AF15" s="4">
        <v>1.391</v>
      </c>
      <c r="AG15" s="4">
        <v>487.04300000000001</v>
      </c>
      <c r="AH15" s="4">
        <v>1.458</v>
      </c>
      <c r="AI15" s="4">
        <v>803.21699999999998</v>
      </c>
    </row>
    <row r="16" spans="1:35" x14ac:dyDescent="0.2">
      <c r="B16" s="4">
        <v>1.224</v>
      </c>
      <c r="C16" s="4">
        <v>642.23099999999999</v>
      </c>
      <c r="D16" s="4">
        <v>1.1990000000000001</v>
      </c>
      <c r="E16" s="4">
        <v>225.32599999999999</v>
      </c>
      <c r="F16" s="4">
        <v>1.202</v>
      </c>
      <c r="G16" s="4">
        <v>659.95799999999997</v>
      </c>
      <c r="I16" s="4">
        <v>1.19</v>
      </c>
      <c r="J16" s="4">
        <v>682.66399999999999</v>
      </c>
      <c r="K16" s="4">
        <v>1.266</v>
      </c>
      <c r="L16" s="4">
        <v>634.37</v>
      </c>
      <c r="M16" s="4">
        <v>1.3069999999999999</v>
      </c>
      <c r="N16" s="4">
        <v>651.41499999999996</v>
      </c>
      <c r="P16" s="4">
        <v>1.413</v>
      </c>
      <c r="Q16" s="4">
        <v>363.92899999999997</v>
      </c>
      <c r="R16" s="4">
        <v>1.44</v>
      </c>
      <c r="S16" s="4">
        <v>154.20699999999999</v>
      </c>
      <c r="T16" s="5">
        <v>1.4590000000000001</v>
      </c>
      <c r="U16" s="4">
        <v>471.47699999999998</v>
      </c>
      <c r="V16" s="6"/>
      <c r="W16" s="4">
        <v>1.8109999999999999</v>
      </c>
      <c r="X16" s="7">
        <v>1227.317</v>
      </c>
      <c r="Y16" s="4">
        <v>1.849</v>
      </c>
      <c r="Z16" s="4">
        <v>873.39300000000003</v>
      </c>
      <c r="AA16" s="4">
        <v>1.9330000000000001</v>
      </c>
      <c r="AB16" s="4">
        <v>995.00300000000004</v>
      </c>
      <c r="AD16" s="4">
        <v>1.39</v>
      </c>
      <c r="AE16" s="4">
        <v>1062.6890000000001</v>
      </c>
      <c r="AF16" s="4">
        <v>1.391</v>
      </c>
      <c r="AG16" s="4">
        <v>456.94499999999999</v>
      </c>
      <c r="AH16" s="4">
        <v>1.4610000000000001</v>
      </c>
      <c r="AI16" s="4">
        <v>699.803</v>
      </c>
    </row>
    <row r="17" spans="2:35" x14ac:dyDescent="0.2">
      <c r="B17" s="4">
        <v>1.2210000000000001</v>
      </c>
      <c r="C17" s="4">
        <v>450.983</v>
      </c>
      <c r="D17" s="4">
        <v>1.1970000000000001</v>
      </c>
      <c r="E17" s="4">
        <v>679.67600000000004</v>
      </c>
      <c r="F17" s="4">
        <v>1.204</v>
      </c>
      <c r="G17" s="4">
        <v>415.29</v>
      </c>
      <c r="I17" s="4">
        <v>1.194</v>
      </c>
      <c r="J17" s="4">
        <v>634.01099999999997</v>
      </c>
      <c r="K17" s="4">
        <v>1.2649999999999999</v>
      </c>
      <c r="L17" s="4">
        <v>635.15200000000004</v>
      </c>
      <c r="M17" s="4">
        <v>1.306</v>
      </c>
      <c r="N17" s="4">
        <v>659.74300000000005</v>
      </c>
      <c r="P17" s="4">
        <v>1.415</v>
      </c>
      <c r="Q17" s="4">
        <v>436.226</v>
      </c>
      <c r="R17" s="4">
        <v>1.4379999999999999</v>
      </c>
      <c r="S17" s="4">
        <v>552.00699999999995</v>
      </c>
      <c r="T17" s="5">
        <v>1.46</v>
      </c>
      <c r="U17" s="4">
        <v>325.495</v>
      </c>
      <c r="V17" s="6"/>
      <c r="W17" s="4">
        <v>1.8140000000000001</v>
      </c>
      <c r="X17" s="7">
        <v>923.43799999999999</v>
      </c>
      <c r="Y17" s="4">
        <v>1.851</v>
      </c>
      <c r="Z17" s="4">
        <v>748.65899999999999</v>
      </c>
      <c r="AA17" s="4">
        <v>1.9359999999999999</v>
      </c>
      <c r="AB17" s="4">
        <v>792.23</v>
      </c>
      <c r="AD17" s="4">
        <v>1.391</v>
      </c>
      <c r="AE17" s="4">
        <v>805.39499999999998</v>
      </c>
      <c r="AF17" s="4">
        <v>1.391</v>
      </c>
      <c r="AG17" s="4">
        <v>524.39800000000002</v>
      </c>
      <c r="AH17" s="4">
        <v>1.4590000000000001</v>
      </c>
      <c r="AI17" s="4">
        <v>872.04700000000003</v>
      </c>
    </row>
    <row r="18" spans="2:35" x14ac:dyDescent="0.2">
      <c r="B18" s="4">
        <v>1.2190000000000001</v>
      </c>
      <c r="C18" s="4">
        <v>401.149</v>
      </c>
      <c r="D18" s="4">
        <v>1.2</v>
      </c>
      <c r="E18" s="4">
        <v>300.89499999999998</v>
      </c>
      <c r="F18" s="4">
        <v>1.206</v>
      </c>
      <c r="G18" s="4">
        <v>705.49599999999998</v>
      </c>
      <c r="I18" s="4">
        <v>1.196</v>
      </c>
      <c r="J18" s="4">
        <v>492.35500000000002</v>
      </c>
      <c r="K18" s="4">
        <v>1.2669999999999999</v>
      </c>
      <c r="L18" s="4">
        <v>568.03099999999995</v>
      </c>
      <c r="M18" s="4">
        <v>1.3089999999999999</v>
      </c>
      <c r="N18" s="4">
        <v>348.88099999999997</v>
      </c>
      <c r="P18" s="4">
        <v>1.415</v>
      </c>
      <c r="Q18" s="4">
        <v>330.43099999999998</v>
      </c>
      <c r="R18" s="4">
        <v>1.4410000000000001</v>
      </c>
      <c r="S18" s="4">
        <v>298.59399999999999</v>
      </c>
      <c r="T18" s="5">
        <v>1.46</v>
      </c>
      <c r="U18" s="4">
        <v>553.928</v>
      </c>
      <c r="V18" s="6"/>
      <c r="W18" s="4">
        <v>1.8140000000000001</v>
      </c>
      <c r="X18" s="7">
        <v>989.75099999999998</v>
      </c>
      <c r="Y18" s="4">
        <v>1.8520000000000001</v>
      </c>
      <c r="Z18" s="4">
        <v>957.76800000000003</v>
      </c>
      <c r="AA18" s="4">
        <v>1.9350000000000001</v>
      </c>
      <c r="AB18" s="4">
        <v>931.81299999999999</v>
      </c>
      <c r="AD18" s="4">
        <v>1.393</v>
      </c>
      <c r="AE18" s="4">
        <v>861.923</v>
      </c>
      <c r="AF18" s="4">
        <v>1.3919999999999999</v>
      </c>
      <c r="AG18" s="4">
        <v>563.524</v>
      </c>
      <c r="AH18" s="4">
        <v>1.4630000000000001</v>
      </c>
      <c r="AI18" s="4">
        <v>721.46699999999998</v>
      </c>
    </row>
    <row r="19" spans="2:35" x14ac:dyDescent="0.2">
      <c r="B19" s="4">
        <v>1.216</v>
      </c>
      <c r="C19" s="4">
        <v>523.93100000000004</v>
      </c>
      <c r="D19" s="4">
        <v>1.2</v>
      </c>
      <c r="E19" s="4">
        <v>383.23599999999999</v>
      </c>
      <c r="F19" s="4">
        <v>1.2070000000000001</v>
      </c>
      <c r="G19" s="4">
        <v>587.42399999999998</v>
      </c>
      <c r="I19" s="4">
        <v>1.2</v>
      </c>
      <c r="J19" s="4">
        <v>368.73099999999999</v>
      </c>
      <c r="K19" s="4">
        <v>1.268</v>
      </c>
      <c r="L19" s="4">
        <v>397.64</v>
      </c>
      <c r="M19" s="4">
        <v>1.3089999999999999</v>
      </c>
      <c r="N19" s="4">
        <v>387.20400000000001</v>
      </c>
      <c r="P19" s="4">
        <v>1.4159999999999999</v>
      </c>
      <c r="Q19" s="4">
        <v>387.81900000000002</v>
      </c>
      <c r="R19" s="4">
        <v>1.4410000000000001</v>
      </c>
      <c r="S19" s="4">
        <v>299.22000000000003</v>
      </c>
      <c r="T19" s="5">
        <v>1.458</v>
      </c>
      <c r="U19" s="4">
        <v>581.38400000000001</v>
      </c>
      <c r="V19" s="6"/>
      <c r="W19" s="4">
        <v>1.8140000000000001</v>
      </c>
      <c r="X19" s="7">
        <v>1161.252</v>
      </c>
      <c r="Y19" s="4">
        <v>1.85</v>
      </c>
      <c r="Z19" s="4">
        <v>1008.138</v>
      </c>
      <c r="AA19" s="4">
        <v>1.9370000000000001</v>
      </c>
      <c r="AB19" s="4">
        <v>755.38099999999997</v>
      </c>
      <c r="AD19" s="4">
        <v>1.3919999999999999</v>
      </c>
      <c r="AE19" s="4">
        <v>828.59400000000005</v>
      </c>
      <c r="AF19" s="4">
        <v>1.3919999999999999</v>
      </c>
      <c r="AG19" s="4">
        <v>438.51799999999997</v>
      </c>
      <c r="AH19" s="4">
        <v>1.4630000000000001</v>
      </c>
      <c r="AI19" s="4">
        <v>897.37400000000002</v>
      </c>
    </row>
    <row r="20" spans="2:35" x14ac:dyDescent="0.2">
      <c r="B20" s="4">
        <v>1.2150000000000001</v>
      </c>
      <c r="C20" s="4">
        <v>241.12200000000001</v>
      </c>
      <c r="D20" s="4">
        <v>1.2010000000000001</v>
      </c>
      <c r="E20" s="4">
        <v>433.25700000000001</v>
      </c>
      <c r="F20" s="4">
        <v>1.21</v>
      </c>
      <c r="G20" s="4">
        <v>525.34900000000005</v>
      </c>
      <c r="I20" s="4">
        <v>1.202</v>
      </c>
      <c r="J20" s="4">
        <v>479.673</v>
      </c>
      <c r="K20" s="4">
        <v>1.2709999999999999</v>
      </c>
      <c r="L20" s="4">
        <v>382.14299999999997</v>
      </c>
      <c r="M20" s="4">
        <v>1.31</v>
      </c>
      <c r="N20" s="4">
        <v>354.95600000000002</v>
      </c>
      <c r="P20" s="4">
        <v>1.417</v>
      </c>
      <c r="Q20" s="4">
        <v>336.32</v>
      </c>
      <c r="R20" s="4">
        <v>1.4410000000000001</v>
      </c>
      <c r="S20" s="4">
        <v>401.428</v>
      </c>
      <c r="T20" s="5">
        <v>1.4610000000000001</v>
      </c>
      <c r="U20" s="4">
        <v>463.74599999999998</v>
      </c>
      <c r="V20" s="6"/>
      <c r="W20" s="4">
        <v>1.8140000000000001</v>
      </c>
      <c r="X20" s="7">
        <v>1123.5060000000001</v>
      </c>
      <c r="Y20" s="4">
        <v>1.851</v>
      </c>
      <c r="Z20" s="4">
        <v>1097.44</v>
      </c>
      <c r="AA20" s="4">
        <v>1.9379999999999999</v>
      </c>
      <c r="AB20" s="4">
        <v>957.16499999999996</v>
      </c>
      <c r="AD20" s="4">
        <v>1.3939999999999999</v>
      </c>
      <c r="AE20" s="4">
        <v>776.43399999999997</v>
      </c>
      <c r="AF20" s="4">
        <v>1.393</v>
      </c>
      <c r="AG20" s="4">
        <v>678.62800000000004</v>
      </c>
      <c r="AH20" s="4">
        <v>1.464</v>
      </c>
      <c r="AI20" s="4">
        <v>713.96</v>
      </c>
    </row>
    <row r="21" spans="2:35" x14ac:dyDescent="0.2">
      <c r="B21" s="4">
        <v>1.212</v>
      </c>
      <c r="C21" s="4">
        <v>296.40600000000001</v>
      </c>
      <c r="D21" s="4">
        <v>1.2030000000000001</v>
      </c>
      <c r="E21" s="4">
        <v>440.74200000000002</v>
      </c>
      <c r="F21" s="4">
        <v>1.212</v>
      </c>
      <c r="G21" s="4">
        <v>674.44100000000003</v>
      </c>
      <c r="I21" s="4">
        <v>1.2030000000000001</v>
      </c>
      <c r="J21" s="4">
        <v>357.15899999999999</v>
      </c>
      <c r="K21" s="4">
        <v>1.2709999999999999</v>
      </c>
      <c r="L21" s="4">
        <v>571.67600000000004</v>
      </c>
      <c r="M21" s="4">
        <v>1.3089999999999999</v>
      </c>
      <c r="N21" s="4">
        <v>668.56899999999996</v>
      </c>
      <c r="P21" s="4">
        <v>1.4179999999999999</v>
      </c>
      <c r="Q21" s="4">
        <v>217.63200000000001</v>
      </c>
      <c r="R21" s="4">
        <v>1.444</v>
      </c>
      <c r="S21" s="4">
        <v>122.111</v>
      </c>
      <c r="T21" s="5">
        <v>1.462</v>
      </c>
      <c r="U21" s="4">
        <v>487.30500000000001</v>
      </c>
      <c r="V21" s="6"/>
      <c r="W21" s="4">
        <v>1.8160000000000001</v>
      </c>
      <c r="X21" s="7">
        <v>922.601</v>
      </c>
      <c r="Y21" s="4">
        <v>1.851</v>
      </c>
      <c r="Z21" s="4">
        <v>944.04</v>
      </c>
      <c r="AA21" s="4">
        <v>1.9359999999999999</v>
      </c>
      <c r="AB21" s="4">
        <v>757.173</v>
      </c>
      <c r="AD21" s="4">
        <v>1.393</v>
      </c>
      <c r="AE21" s="4">
        <v>1199.3119999999999</v>
      </c>
      <c r="AF21" s="4">
        <v>1.393</v>
      </c>
      <c r="AG21" s="4">
        <v>538.68700000000001</v>
      </c>
      <c r="AH21" s="4">
        <v>1.466</v>
      </c>
      <c r="AI21" s="4">
        <v>571.96299999999997</v>
      </c>
    </row>
    <row r="22" spans="2:35" x14ac:dyDescent="0.2">
      <c r="B22" s="4">
        <v>1.21</v>
      </c>
      <c r="C22" s="4">
        <v>311.589</v>
      </c>
      <c r="D22" s="4">
        <v>1.204</v>
      </c>
      <c r="E22" s="4">
        <v>667.52800000000002</v>
      </c>
      <c r="F22" s="4">
        <v>1.2150000000000001</v>
      </c>
      <c r="G22" s="4">
        <v>537.92399999999998</v>
      </c>
      <c r="I22" s="4">
        <v>1.206</v>
      </c>
      <c r="J22" s="4">
        <v>437.36099999999999</v>
      </c>
      <c r="K22" s="4">
        <v>1.27</v>
      </c>
      <c r="L22" s="4">
        <v>740.26099999999997</v>
      </c>
      <c r="M22" s="4">
        <v>1.3089999999999999</v>
      </c>
      <c r="N22" s="4">
        <v>667.45600000000002</v>
      </c>
      <c r="P22" s="4">
        <v>1.4159999999999999</v>
      </c>
      <c r="Q22" s="4">
        <v>384.94299999999998</v>
      </c>
      <c r="R22" s="4">
        <v>1.4410000000000001</v>
      </c>
      <c r="S22" s="4">
        <v>498.286</v>
      </c>
      <c r="T22" s="5">
        <v>1.4610000000000001</v>
      </c>
      <c r="U22" s="4">
        <v>531.79700000000003</v>
      </c>
      <c r="V22" s="6"/>
      <c r="W22" s="4">
        <v>1.8169999999999999</v>
      </c>
      <c r="X22" s="7">
        <v>1038.5239999999999</v>
      </c>
      <c r="Y22" s="4">
        <v>1.851</v>
      </c>
      <c r="Z22" s="4">
        <v>920.83199999999999</v>
      </c>
      <c r="AA22" s="4">
        <v>1.9410000000000001</v>
      </c>
      <c r="AB22" s="4">
        <v>649.90899999999999</v>
      </c>
      <c r="AD22" s="4">
        <v>1.395</v>
      </c>
      <c r="AE22" s="4">
        <v>798.548</v>
      </c>
      <c r="AF22" s="4">
        <v>1.3939999999999999</v>
      </c>
      <c r="AG22" s="4">
        <v>870.577</v>
      </c>
      <c r="AH22" s="4">
        <v>1.466</v>
      </c>
      <c r="AI22" s="4">
        <v>1086.712</v>
      </c>
    </row>
    <row r="23" spans="2:35" x14ac:dyDescent="0.2">
      <c r="B23" s="4">
        <v>1.208</v>
      </c>
      <c r="C23" s="4">
        <v>250.76900000000001</v>
      </c>
      <c r="D23" s="4">
        <v>1.204</v>
      </c>
      <c r="E23" s="4">
        <v>829.21400000000006</v>
      </c>
      <c r="F23" s="4">
        <v>1.2170000000000001</v>
      </c>
      <c r="G23" s="4">
        <v>418.05900000000003</v>
      </c>
      <c r="I23" s="4">
        <v>1.208</v>
      </c>
      <c r="J23" s="4">
        <v>430.54599999999999</v>
      </c>
      <c r="K23" s="4">
        <v>1.27</v>
      </c>
      <c r="L23" s="4">
        <v>860.54100000000005</v>
      </c>
      <c r="M23" s="4">
        <v>1.3109999999999999</v>
      </c>
      <c r="N23" s="4">
        <v>531.99099999999999</v>
      </c>
      <c r="P23" s="4">
        <v>1.417</v>
      </c>
      <c r="Q23" s="4">
        <v>439.79599999999999</v>
      </c>
      <c r="R23" s="4">
        <v>1.4450000000000001</v>
      </c>
      <c r="S23" s="4">
        <v>291.77800000000002</v>
      </c>
      <c r="T23" s="5">
        <v>1.464</v>
      </c>
      <c r="U23" s="4">
        <v>309.548</v>
      </c>
      <c r="V23" s="6"/>
      <c r="W23" s="4">
        <v>1.8149999999999999</v>
      </c>
      <c r="X23" s="7">
        <v>1185.529</v>
      </c>
      <c r="Y23" s="4">
        <v>1.855</v>
      </c>
      <c r="Z23" s="4">
        <v>806.46100000000001</v>
      </c>
      <c r="AA23" s="4">
        <v>1.9419999999999999</v>
      </c>
      <c r="AB23" s="4">
        <v>656.58500000000004</v>
      </c>
      <c r="AD23" s="4">
        <v>1.395</v>
      </c>
      <c r="AE23" s="4">
        <v>645.27700000000004</v>
      </c>
      <c r="AF23" s="4">
        <v>1.3959999999999999</v>
      </c>
      <c r="AG23" s="4">
        <v>516.44399999999996</v>
      </c>
      <c r="AH23" s="4">
        <v>1.466</v>
      </c>
      <c r="AI23" s="4">
        <v>1021.443</v>
      </c>
    </row>
    <row r="24" spans="2:35" x14ac:dyDescent="0.2">
      <c r="B24" s="4">
        <v>1.2070000000000001</v>
      </c>
      <c r="C24" s="4">
        <v>128.69300000000001</v>
      </c>
      <c r="D24" s="4">
        <v>1.2030000000000001</v>
      </c>
      <c r="E24" s="4">
        <v>721.23900000000003</v>
      </c>
      <c r="F24" s="4">
        <v>1.218</v>
      </c>
      <c r="G24" s="4">
        <v>653.06399999999996</v>
      </c>
      <c r="I24" s="4">
        <v>1.2090000000000001</v>
      </c>
      <c r="J24" s="4">
        <v>605.51300000000003</v>
      </c>
      <c r="K24" s="4">
        <v>1.272</v>
      </c>
      <c r="L24" s="4">
        <v>615.923</v>
      </c>
      <c r="M24" s="4">
        <v>1.3109999999999999</v>
      </c>
      <c r="N24" s="4">
        <v>558.14599999999996</v>
      </c>
      <c r="P24" s="4">
        <v>1.42</v>
      </c>
      <c r="Q24" s="4">
        <v>344.40800000000002</v>
      </c>
      <c r="R24" s="4">
        <v>1.4430000000000001</v>
      </c>
      <c r="S24" s="4">
        <v>291.36799999999999</v>
      </c>
      <c r="T24" s="5">
        <v>1.4630000000000001</v>
      </c>
      <c r="U24" s="4">
        <v>602.11900000000003</v>
      </c>
      <c r="V24" s="6"/>
      <c r="W24" s="4">
        <v>1.8180000000000001</v>
      </c>
      <c r="X24" s="7">
        <v>899.96</v>
      </c>
      <c r="Y24" s="4">
        <v>1.855</v>
      </c>
      <c r="Z24" s="4">
        <v>973.55700000000002</v>
      </c>
      <c r="AA24" s="4">
        <v>1.9410000000000001</v>
      </c>
      <c r="AB24" s="4">
        <v>899.923</v>
      </c>
      <c r="AD24" s="4">
        <v>1.393</v>
      </c>
      <c r="AE24" s="4">
        <v>982.57399999999996</v>
      </c>
      <c r="AF24" s="4">
        <v>1.395</v>
      </c>
      <c r="AG24" s="4">
        <v>700.52499999999998</v>
      </c>
      <c r="AH24" s="4">
        <v>1.468</v>
      </c>
      <c r="AI24" s="4">
        <v>861.98</v>
      </c>
    </row>
    <row r="25" spans="2:35" x14ac:dyDescent="0.2">
      <c r="B25" s="4">
        <v>1.2070000000000001</v>
      </c>
      <c r="C25" s="4">
        <v>121.16500000000001</v>
      </c>
      <c r="D25" s="4">
        <v>1.204</v>
      </c>
      <c r="E25" s="4">
        <v>210.255</v>
      </c>
      <c r="F25" s="4">
        <v>1.2190000000000001</v>
      </c>
      <c r="G25" s="4">
        <v>602.01</v>
      </c>
      <c r="I25" s="4">
        <v>1.212</v>
      </c>
      <c r="J25" s="4">
        <v>349.22</v>
      </c>
      <c r="K25" s="4">
        <v>1.2749999999999999</v>
      </c>
      <c r="L25" s="4">
        <v>615.822</v>
      </c>
      <c r="M25" s="4">
        <v>1.3120000000000001</v>
      </c>
      <c r="N25" s="4">
        <v>583.08100000000002</v>
      </c>
      <c r="P25" s="4">
        <v>1.419</v>
      </c>
      <c r="Q25" s="4">
        <v>284.49700000000001</v>
      </c>
      <c r="R25" s="4">
        <v>1.4430000000000001</v>
      </c>
      <c r="S25" s="4">
        <v>311.43099999999998</v>
      </c>
      <c r="T25" s="5">
        <v>1.462</v>
      </c>
      <c r="U25" s="4">
        <v>491.71499999999997</v>
      </c>
      <c r="V25" s="6"/>
      <c r="W25" s="4">
        <v>1.8169999999999999</v>
      </c>
      <c r="X25" s="7">
        <v>1146.5540000000001</v>
      </c>
      <c r="Y25" s="4">
        <v>1.857</v>
      </c>
      <c r="Z25" s="4">
        <v>873.63199999999995</v>
      </c>
      <c r="AA25" s="4">
        <v>1.94</v>
      </c>
      <c r="AB25" s="4">
        <v>942.61099999999999</v>
      </c>
      <c r="AD25" s="4">
        <v>1.3939999999999999</v>
      </c>
      <c r="AE25" s="4">
        <v>903.48</v>
      </c>
      <c r="AF25" s="4">
        <v>1.3979999999999999</v>
      </c>
      <c r="AG25" s="4">
        <v>666.92600000000004</v>
      </c>
      <c r="AH25" s="4">
        <v>1.4710000000000001</v>
      </c>
      <c r="AI25" s="4">
        <v>635.41499999999996</v>
      </c>
    </row>
    <row r="26" spans="2:35" x14ac:dyDescent="0.2">
      <c r="B26" s="4">
        <v>1.206</v>
      </c>
      <c r="C26" s="4">
        <v>91.05</v>
      </c>
      <c r="D26" s="4">
        <v>1.2030000000000001</v>
      </c>
      <c r="E26" s="4">
        <v>484.96100000000001</v>
      </c>
      <c r="F26" s="4">
        <v>1.2230000000000001</v>
      </c>
      <c r="G26" s="4">
        <v>414.738</v>
      </c>
      <c r="I26" s="4">
        <v>1.2150000000000001</v>
      </c>
      <c r="J26" s="4">
        <v>587.81100000000004</v>
      </c>
      <c r="K26" s="4">
        <v>1.274</v>
      </c>
      <c r="L26" s="4">
        <v>634.45500000000004</v>
      </c>
      <c r="M26" s="4">
        <v>1.3120000000000001</v>
      </c>
      <c r="N26" s="4">
        <v>680.86199999999997</v>
      </c>
      <c r="P26" s="4">
        <v>1.42</v>
      </c>
      <c r="Q26" s="4">
        <v>335.012</v>
      </c>
      <c r="R26" s="4">
        <v>1.4450000000000001</v>
      </c>
      <c r="S26" s="4">
        <v>210.00399999999999</v>
      </c>
      <c r="T26" s="5">
        <v>1.4650000000000001</v>
      </c>
      <c r="U26" s="4">
        <v>359.54599999999999</v>
      </c>
      <c r="V26" s="6"/>
      <c r="W26" s="4">
        <v>1.821</v>
      </c>
      <c r="X26" s="7">
        <v>982.81399999999996</v>
      </c>
      <c r="Y26" s="4">
        <v>1.8580000000000001</v>
      </c>
      <c r="Z26" s="4">
        <v>852.51400000000001</v>
      </c>
      <c r="AA26" s="4">
        <v>1.9419999999999999</v>
      </c>
      <c r="AB26" s="4">
        <v>847.05899999999997</v>
      </c>
      <c r="AD26" s="4">
        <v>1.395</v>
      </c>
      <c r="AE26" s="4">
        <v>794.80200000000002</v>
      </c>
      <c r="AF26" s="4">
        <v>1.4</v>
      </c>
      <c r="AG26" s="4">
        <v>335.029</v>
      </c>
      <c r="AH26" s="4">
        <v>1.472</v>
      </c>
      <c r="AI26" s="4">
        <v>822.14599999999996</v>
      </c>
    </row>
    <row r="27" spans="2:35" x14ac:dyDescent="0.2">
      <c r="B27" s="4">
        <v>1.202</v>
      </c>
      <c r="C27" s="4">
        <v>301.536</v>
      </c>
      <c r="D27" s="4">
        <v>1.2050000000000001</v>
      </c>
      <c r="E27" s="4">
        <v>289.97000000000003</v>
      </c>
      <c r="F27" s="4">
        <v>1.224</v>
      </c>
      <c r="G27" s="4">
        <v>570.05399999999997</v>
      </c>
      <c r="I27" s="4">
        <v>1.216</v>
      </c>
      <c r="J27" s="4">
        <v>539.08299999999997</v>
      </c>
      <c r="K27" s="4">
        <v>1.278</v>
      </c>
      <c r="L27" s="4">
        <v>554.27200000000005</v>
      </c>
      <c r="M27" s="4">
        <v>1.3120000000000001</v>
      </c>
      <c r="N27" s="4">
        <v>708.91099999999994</v>
      </c>
      <c r="P27" s="4">
        <v>1.421</v>
      </c>
      <c r="Q27" s="4">
        <v>506.58600000000001</v>
      </c>
      <c r="R27" s="4">
        <v>1.4450000000000001</v>
      </c>
      <c r="S27" s="4">
        <v>361.61</v>
      </c>
      <c r="T27" s="5">
        <v>1.464</v>
      </c>
      <c r="U27" s="4">
        <v>193.23599999999999</v>
      </c>
      <c r="V27" s="6"/>
      <c r="W27" s="4">
        <v>1.82</v>
      </c>
      <c r="X27" s="7">
        <v>1071.32</v>
      </c>
      <c r="Y27" s="4">
        <v>1.859</v>
      </c>
      <c r="Z27" s="4">
        <v>981.66499999999996</v>
      </c>
      <c r="AA27" s="4">
        <v>1.9430000000000001</v>
      </c>
      <c r="AB27" s="4">
        <v>766.46900000000005</v>
      </c>
      <c r="AD27" s="4">
        <v>1.3939999999999999</v>
      </c>
      <c r="AE27" s="4">
        <v>906.54300000000001</v>
      </c>
      <c r="AF27" s="4">
        <v>1.4</v>
      </c>
      <c r="AG27" s="4">
        <v>542.16300000000001</v>
      </c>
      <c r="AH27" s="4">
        <v>1.472</v>
      </c>
      <c r="AI27" s="4">
        <v>719.21199999999999</v>
      </c>
    </row>
    <row r="28" spans="2:35" x14ac:dyDescent="0.2">
      <c r="B28" s="4">
        <v>1.2</v>
      </c>
      <c r="C28" s="4">
        <v>316.48</v>
      </c>
      <c r="D28" s="4">
        <v>1.2030000000000001</v>
      </c>
      <c r="E28" s="4">
        <v>606.62199999999996</v>
      </c>
      <c r="F28" s="4">
        <v>1.2270000000000001</v>
      </c>
      <c r="G28" s="4">
        <v>431.21100000000001</v>
      </c>
      <c r="I28" s="4">
        <v>1.22</v>
      </c>
      <c r="J28" s="4">
        <v>477.46199999999999</v>
      </c>
      <c r="K28" s="4">
        <v>1.2769999999999999</v>
      </c>
      <c r="L28" s="4">
        <v>579.89499999999998</v>
      </c>
      <c r="M28" s="4">
        <v>1.3129999999999999</v>
      </c>
      <c r="N28" s="4">
        <v>548.13699999999994</v>
      </c>
      <c r="P28" s="4">
        <v>1.421</v>
      </c>
      <c r="Q28" s="4">
        <v>414.24299999999999</v>
      </c>
      <c r="R28" s="4">
        <v>1.446</v>
      </c>
      <c r="S28" s="4">
        <v>370.20600000000002</v>
      </c>
      <c r="T28" s="5">
        <v>1.4650000000000001</v>
      </c>
      <c r="U28" s="4">
        <v>472.226</v>
      </c>
      <c r="V28" s="6"/>
      <c r="W28" s="4">
        <v>1.8220000000000001</v>
      </c>
      <c r="X28" s="7">
        <v>1072.0039999999999</v>
      </c>
      <c r="Y28" s="4">
        <v>1.8580000000000001</v>
      </c>
      <c r="Z28" s="4">
        <v>1026.376</v>
      </c>
      <c r="AA28" s="4">
        <v>1.9419999999999999</v>
      </c>
      <c r="AB28" s="4">
        <v>710.85699999999997</v>
      </c>
      <c r="AD28" s="4">
        <v>1.3939999999999999</v>
      </c>
      <c r="AE28" s="4">
        <v>1037.98</v>
      </c>
      <c r="AF28" s="4">
        <v>1.401</v>
      </c>
      <c r="AG28" s="4">
        <v>678.798</v>
      </c>
      <c r="AH28" s="4">
        <v>1.474</v>
      </c>
      <c r="AI28" s="4">
        <v>830.44500000000005</v>
      </c>
    </row>
    <row r="29" spans="2:35" x14ac:dyDescent="0.2">
      <c r="B29" s="4">
        <v>1.1990000000000001</v>
      </c>
      <c r="C29" s="4">
        <v>176.06399999999999</v>
      </c>
      <c r="D29" s="4">
        <v>1.2030000000000001</v>
      </c>
      <c r="E29" s="4">
        <v>810.10299999999995</v>
      </c>
      <c r="F29" s="4">
        <v>1.23</v>
      </c>
      <c r="G29" s="4">
        <v>313.459</v>
      </c>
      <c r="I29" s="4">
        <v>1.2210000000000001</v>
      </c>
      <c r="J29" s="4">
        <v>206.09700000000001</v>
      </c>
      <c r="K29" s="4">
        <v>1.2769999999999999</v>
      </c>
      <c r="L29" s="4">
        <v>659.33500000000004</v>
      </c>
      <c r="M29" s="4">
        <v>1.3129999999999999</v>
      </c>
      <c r="N29" s="4">
        <v>762.73599999999999</v>
      </c>
      <c r="P29" s="4">
        <v>1.421</v>
      </c>
      <c r="Q29" s="4">
        <v>376.05599999999998</v>
      </c>
      <c r="R29" s="4">
        <v>1.446</v>
      </c>
      <c r="S29" s="4">
        <v>157.624</v>
      </c>
      <c r="T29" s="5">
        <v>1.4650000000000001</v>
      </c>
      <c r="U29" s="4">
        <v>686.26</v>
      </c>
      <c r="V29" s="6"/>
      <c r="W29" s="4">
        <v>1.823</v>
      </c>
      <c r="X29" s="7">
        <v>860.87800000000004</v>
      </c>
      <c r="Y29" s="4">
        <v>1.859</v>
      </c>
      <c r="Z29" s="4">
        <v>801.154</v>
      </c>
      <c r="AA29" s="4">
        <v>1.9450000000000001</v>
      </c>
      <c r="AB29" s="4">
        <v>893.18100000000004</v>
      </c>
      <c r="AD29" s="4">
        <v>1.395</v>
      </c>
      <c r="AE29" s="4">
        <v>801.70299999999997</v>
      </c>
      <c r="AF29" s="4">
        <v>1.4019999999999999</v>
      </c>
      <c r="AG29" s="4">
        <v>835.39300000000003</v>
      </c>
      <c r="AH29" s="4">
        <v>1.4750000000000001</v>
      </c>
      <c r="AI29" s="4">
        <v>899.49800000000005</v>
      </c>
    </row>
    <row r="30" spans="2:35" x14ac:dyDescent="0.2">
      <c r="B30" s="4">
        <v>1.198</v>
      </c>
      <c r="C30" s="4">
        <v>76.712000000000003</v>
      </c>
      <c r="D30" s="4">
        <v>1.206</v>
      </c>
      <c r="E30" s="4">
        <v>468.47899999999998</v>
      </c>
      <c r="F30" s="4">
        <v>1.232</v>
      </c>
      <c r="G30" s="4">
        <v>536.08699999999999</v>
      </c>
      <c r="I30" s="4">
        <v>1.22</v>
      </c>
      <c r="J30" s="4">
        <v>541.73800000000006</v>
      </c>
      <c r="K30" s="4">
        <v>1.2789999999999999</v>
      </c>
      <c r="L30" s="4">
        <v>679.66600000000005</v>
      </c>
      <c r="M30" s="4">
        <v>1.3129999999999999</v>
      </c>
      <c r="N30" s="4">
        <v>692.89599999999996</v>
      </c>
      <c r="P30" s="4">
        <v>1.4219999999999999</v>
      </c>
      <c r="Q30" s="4">
        <v>302.63900000000001</v>
      </c>
      <c r="R30" s="4">
        <v>1.4470000000000001</v>
      </c>
      <c r="S30" s="4">
        <v>284.524</v>
      </c>
      <c r="T30" s="5">
        <v>1.468</v>
      </c>
      <c r="U30" s="4">
        <v>382.85300000000001</v>
      </c>
      <c r="V30" s="6"/>
      <c r="W30" s="4">
        <v>1.8220000000000001</v>
      </c>
      <c r="X30" s="7">
        <v>1034.2750000000001</v>
      </c>
      <c r="Y30" s="4">
        <v>1.859</v>
      </c>
      <c r="Z30" s="4">
        <v>923.05600000000004</v>
      </c>
      <c r="AA30" s="4">
        <v>1.946</v>
      </c>
      <c r="AB30" s="4">
        <v>916.10299999999995</v>
      </c>
      <c r="AD30" s="4">
        <v>1.3939999999999999</v>
      </c>
      <c r="AE30" s="4">
        <v>992.03399999999999</v>
      </c>
      <c r="AF30" s="4">
        <v>1.403</v>
      </c>
      <c r="AG30" s="4">
        <v>498.791</v>
      </c>
      <c r="AH30" s="4">
        <v>1.4790000000000001</v>
      </c>
      <c r="AI30" s="4">
        <v>921.52300000000002</v>
      </c>
    </row>
    <row r="31" spans="2:35" x14ac:dyDescent="0.2">
      <c r="B31" s="4">
        <v>1.194</v>
      </c>
      <c r="C31" s="4">
        <v>455.411</v>
      </c>
      <c r="D31" s="4">
        <v>1.2050000000000001</v>
      </c>
      <c r="E31" s="4">
        <v>439.39100000000002</v>
      </c>
      <c r="F31" s="4">
        <v>1.234</v>
      </c>
      <c r="G31" s="4">
        <v>557.65499999999997</v>
      </c>
      <c r="I31" s="4">
        <v>1.224</v>
      </c>
      <c r="J31" s="4">
        <v>403.91300000000001</v>
      </c>
      <c r="K31" s="4">
        <v>1.28</v>
      </c>
      <c r="L31" s="4">
        <v>683.69299999999998</v>
      </c>
      <c r="M31" s="4">
        <v>1.3149999999999999</v>
      </c>
      <c r="N31" s="4">
        <v>627.55899999999997</v>
      </c>
      <c r="P31" s="4">
        <v>1.421</v>
      </c>
      <c r="Q31" s="4">
        <v>497.58600000000001</v>
      </c>
      <c r="R31" s="4">
        <v>1.446</v>
      </c>
      <c r="S31" s="4">
        <v>461.22699999999998</v>
      </c>
      <c r="T31" s="5">
        <v>1.4670000000000001</v>
      </c>
      <c r="U31" s="4">
        <v>363.63900000000001</v>
      </c>
      <c r="V31" s="6"/>
      <c r="W31" s="4">
        <v>1.823</v>
      </c>
      <c r="X31" s="7">
        <v>1248.126</v>
      </c>
      <c r="Y31" s="4">
        <v>1.8620000000000001</v>
      </c>
      <c r="Z31" s="4">
        <v>898.149</v>
      </c>
      <c r="AA31" s="4">
        <v>1.946</v>
      </c>
      <c r="AB31" s="4">
        <v>624.48599999999999</v>
      </c>
      <c r="AD31" s="4">
        <v>1.3959999999999999</v>
      </c>
      <c r="AE31" s="4">
        <v>1064.402</v>
      </c>
      <c r="AF31" s="4">
        <v>1.4039999999999999</v>
      </c>
      <c r="AG31" s="4">
        <v>558.56299999999999</v>
      </c>
      <c r="AH31" s="4">
        <v>1.48</v>
      </c>
      <c r="AI31" s="4">
        <v>858.21400000000006</v>
      </c>
    </row>
    <row r="32" spans="2:35" x14ac:dyDescent="0.2">
      <c r="B32" s="4">
        <v>1.1950000000000001</v>
      </c>
      <c r="C32" s="4">
        <v>266.93400000000003</v>
      </c>
      <c r="D32" s="4">
        <v>1.2030000000000001</v>
      </c>
      <c r="E32" s="4">
        <v>884.62599999999998</v>
      </c>
      <c r="F32" s="4">
        <v>1.2350000000000001</v>
      </c>
      <c r="G32" s="4">
        <v>432.29399999999998</v>
      </c>
      <c r="I32" s="4">
        <v>1.224</v>
      </c>
      <c r="J32" s="4">
        <v>751.50300000000004</v>
      </c>
      <c r="K32" s="4">
        <v>1.2809999999999999</v>
      </c>
      <c r="L32" s="4">
        <v>476.36</v>
      </c>
      <c r="M32" s="4">
        <v>1.3149999999999999</v>
      </c>
      <c r="N32" s="4">
        <v>569.38900000000001</v>
      </c>
      <c r="P32" s="4">
        <v>1.4239999999999999</v>
      </c>
      <c r="Q32" s="4">
        <v>363.197</v>
      </c>
      <c r="R32" s="4">
        <v>1.446</v>
      </c>
      <c r="S32" s="4">
        <v>393.09100000000001</v>
      </c>
      <c r="T32" s="5">
        <v>1.4670000000000001</v>
      </c>
      <c r="U32" s="4">
        <v>393.15600000000001</v>
      </c>
      <c r="V32" s="6"/>
      <c r="W32" s="4">
        <v>1.8260000000000001</v>
      </c>
      <c r="X32" s="7">
        <v>1003.443</v>
      </c>
      <c r="Y32" s="4">
        <v>1.861</v>
      </c>
      <c r="Z32" s="4">
        <v>877.947</v>
      </c>
      <c r="AA32" s="4">
        <v>1.9450000000000001</v>
      </c>
      <c r="AB32" s="4">
        <v>845.84900000000005</v>
      </c>
      <c r="AD32" s="4">
        <v>1.3959999999999999</v>
      </c>
      <c r="AE32" s="4">
        <v>789.38099999999997</v>
      </c>
      <c r="AF32" s="4">
        <v>1.405</v>
      </c>
      <c r="AG32" s="4">
        <v>554.73800000000006</v>
      </c>
      <c r="AH32" s="4">
        <v>1.4810000000000001</v>
      </c>
      <c r="AI32" s="4">
        <v>967.30799999999999</v>
      </c>
    </row>
    <row r="33" spans="1:35" x14ac:dyDescent="0.2">
      <c r="B33" s="4">
        <v>1.1910000000000001</v>
      </c>
      <c r="C33" s="4">
        <v>477.74799999999999</v>
      </c>
      <c r="D33" s="4">
        <v>1.2030000000000001</v>
      </c>
      <c r="E33" s="4">
        <v>562.44500000000005</v>
      </c>
      <c r="F33" s="4">
        <v>1.236</v>
      </c>
      <c r="G33" s="4">
        <v>595.23400000000004</v>
      </c>
      <c r="I33" s="4">
        <v>1.2270000000000001</v>
      </c>
      <c r="J33" s="4">
        <v>514.13300000000004</v>
      </c>
      <c r="K33" s="4">
        <v>1.284</v>
      </c>
      <c r="L33" s="4">
        <v>302.38499999999999</v>
      </c>
      <c r="M33" s="4">
        <v>1.3140000000000001</v>
      </c>
      <c r="N33" s="4">
        <v>813.82100000000003</v>
      </c>
      <c r="P33" s="4">
        <v>1.4239999999999999</v>
      </c>
      <c r="Q33" s="4">
        <v>316.726</v>
      </c>
      <c r="R33" s="4">
        <v>1.446</v>
      </c>
      <c r="S33" s="4">
        <v>377.96300000000002</v>
      </c>
      <c r="T33" s="5">
        <v>1.468</v>
      </c>
      <c r="U33" s="4">
        <v>336.46100000000001</v>
      </c>
      <c r="V33" s="6"/>
      <c r="W33" s="4">
        <v>1.8280000000000001</v>
      </c>
      <c r="X33" s="7">
        <v>1062.6379999999999</v>
      </c>
      <c r="Y33" s="4">
        <v>1.8640000000000001</v>
      </c>
      <c r="Z33" s="4">
        <v>781.59500000000003</v>
      </c>
      <c r="AA33" s="4">
        <v>1.948</v>
      </c>
      <c r="AB33" s="4">
        <v>797.44100000000003</v>
      </c>
      <c r="AD33" s="4">
        <v>1.3979999999999999</v>
      </c>
      <c r="AE33" s="4">
        <v>672.28800000000001</v>
      </c>
      <c r="AF33" s="4">
        <v>1.407</v>
      </c>
      <c r="AG33" s="4">
        <v>582.58299999999997</v>
      </c>
      <c r="AH33" s="4">
        <v>1.482</v>
      </c>
      <c r="AI33" s="4">
        <v>911.625</v>
      </c>
    </row>
    <row r="34" spans="1:35" x14ac:dyDescent="0.2">
      <c r="B34" s="4">
        <v>1.1919999999999999</v>
      </c>
      <c r="C34" s="4">
        <v>288.697</v>
      </c>
      <c r="D34" s="4">
        <v>1.204</v>
      </c>
      <c r="E34" s="4">
        <v>640.53399999999999</v>
      </c>
      <c r="F34" s="4">
        <v>1.24</v>
      </c>
      <c r="G34" s="4">
        <v>287.637</v>
      </c>
      <c r="I34" s="4">
        <v>1.2270000000000001</v>
      </c>
      <c r="J34" s="4">
        <v>796.83299999999997</v>
      </c>
      <c r="K34" s="4">
        <v>1.284</v>
      </c>
      <c r="L34" s="4">
        <v>564.89700000000005</v>
      </c>
      <c r="M34" s="4">
        <v>1.3149999999999999</v>
      </c>
      <c r="N34" s="4">
        <v>624.16600000000005</v>
      </c>
      <c r="P34" s="4">
        <v>1.4239999999999999</v>
      </c>
      <c r="Q34" s="4">
        <v>413.93900000000002</v>
      </c>
      <c r="R34" s="4">
        <v>1.4470000000000001</v>
      </c>
      <c r="S34" s="4">
        <v>244.34100000000001</v>
      </c>
      <c r="T34" s="5">
        <v>1.468</v>
      </c>
      <c r="U34" s="4">
        <v>556.93200000000002</v>
      </c>
      <c r="V34" s="6"/>
      <c r="W34" s="4">
        <v>1.83</v>
      </c>
      <c r="X34" s="7">
        <v>1206.114</v>
      </c>
      <c r="Y34" s="4">
        <v>1.8640000000000001</v>
      </c>
      <c r="Z34" s="4">
        <v>774.41600000000005</v>
      </c>
      <c r="AA34" s="4">
        <v>1.95</v>
      </c>
      <c r="AB34" s="4">
        <v>785.77099999999996</v>
      </c>
      <c r="AD34" s="4">
        <v>1.395</v>
      </c>
      <c r="AE34" s="4">
        <v>928.28499999999997</v>
      </c>
      <c r="AF34" s="4">
        <v>1.407</v>
      </c>
      <c r="AG34" s="4">
        <v>626.41099999999994</v>
      </c>
      <c r="AH34" s="4">
        <v>1.4870000000000001</v>
      </c>
      <c r="AI34" s="4">
        <v>589.09400000000005</v>
      </c>
    </row>
    <row r="35" spans="1:35" x14ac:dyDescent="0.2">
      <c r="B35" s="4">
        <v>1.1919999999999999</v>
      </c>
      <c r="C35" s="4">
        <v>366.87599999999998</v>
      </c>
      <c r="D35" s="4">
        <v>1.206</v>
      </c>
      <c r="E35" s="4">
        <v>622.95299999999997</v>
      </c>
      <c r="F35" s="4">
        <v>1.2430000000000001</v>
      </c>
      <c r="G35" s="4">
        <v>373.28699999999998</v>
      </c>
      <c r="I35" s="4">
        <v>1.232</v>
      </c>
      <c r="J35" s="4">
        <v>446.10500000000002</v>
      </c>
      <c r="K35" s="4">
        <v>1.284</v>
      </c>
      <c r="L35" s="4">
        <v>558.15200000000004</v>
      </c>
      <c r="M35" s="4">
        <v>1.3160000000000001</v>
      </c>
      <c r="N35" s="4">
        <v>657.65</v>
      </c>
      <c r="P35" s="4">
        <v>1.4239999999999999</v>
      </c>
      <c r="Q35" s="4">
        <v>541.00699999999995</v>
      </c>
      <c r="R35" s="4">
        <v>1.4490000000000001</v>
      </c>
      <c r="S35" s="4">
        <v>220.274</v>
      </c>
      <c r="T35" s="5">
        <v>1.468</v>
      </c>
      <c r="U35" s="4">
        <v>461.06299999999999</v>
      </c>
      <c r="V35" s="6"/>
      <c r="W35" s="4">
        <v>1.831</v>
      </c>
      <c r="X35" s="7">
        <v>1093.501</v>
      </c>
      <c r="Y35" s="4">
        <v>1.8660000000000001</v>
      </c>
      <c r="Z35" s="4">
        <v>976.65</v>
      </c>
      <c r="AA35" s="4">
        <v>1.9490000000000001</v>
      </c>
      <c r="AB35" s="4">
        <v>862.49400000000003</v>
      </c>
      <c r="AD35" s="4">
        <v>1.3959999999999999</v>
      </c>
      <c r="AE35" s="4">
        <v>986.17700000000002</v>
      </c>
      <c r="AF35" s="4">
        <v>1.409</v>
      </c>
      <c r="AG35" s="4">
        <v>599.08600000000001</v>
      </c>
      <c r="AH35" s="4">
        <v>1.482</v>
      </c>
      <c r="AI35" s="4">
        <v>1153.97</v>
      </c>
    </row>
    <row r="36" spans="1:35" x14ac:dyDescent="0.2">
      <c r="B36" s="4">
        <v>1.1910000000000001</v>
      </c>
      <c r="C36" s="4">
        <v>286.68</v>
      </c>
      <c r="D36" s="4">
        <v>1.2070000000000001</v>
      </c>
      <c r="E36" s="4">
        <v>285.40100000000001</v>
      </c>
      <c r="F36" s="4">
        <v>1.2430000000000001</v>
      </c>
      <c r="G36" s="4">
        <v>466.78</v>
      </c>
      <c r="I36" s="4">
        <v>1.23</v>
      </c>
      <c r="J36" s="4">
        <v>692.81200000000001</v>
      </c>
      <c r="K36" s="4">
        <v>1.286</v>
      </c>
      <c r="L36" s="4">
        <v>503.96300000000002</v>
      </c>
      <c r="M36" s="4">
        <v>1.3169999999999999</v>
      </c>
      <c r="N36" s="4">
        <v>566.30499999999995</v>
      </c>
      <c r="P36" s="4">
        <v>1.425</v>
      </c>
      <c r="Q36" s="4">
        <v>458.733</v>
      </c>
      <c r="R36" s="4">
        <v>1.448</v>
      </c>
      <c r="S36" s="4">
        <v>279.18700000000001</v>
      </c>
      <c r="T36" s="5">
        <v>1.4690000000000001</v>
      </c>
      <c r="U36" s="4">
        <v>453.75700000000001</v>
      </c>
      <c r="V36" s="6"/>
      <c r="W36" s="4">
        <v>1.833</v>
      </c>
      <c r="X36" s="7">
        <v>1089.894</v>
      </c>
      <c r="Y36" s="4">
        <v>1.865</v>
      </c>
      <c r="Z36" s="4">
        <v>844.94799999999998</v>
      </c>
      <c r="AA36" s="4">
        <v>1.952</v>
      </c>
      <c r="AB36" s="4">
        <v>783.80200000000002</v>
      </c>
      <c r="AD36" s="4">
        <v>1.3959999999999999</v>
      </c>
      <c r="AE36" s="4">
        <v>801.17</v>
      </c>
      <c r="AF36" s="4">
        <v>1.4119999999999999</v>
      </c>
      <c r="AG36" s="4">
        <v>210.69399999999999</v>
      </c>
      <c r="AH36" s="4">
        <v>1.488</v>
      </c>
      <c r="AI36" s="4">
        <v>704.23199999999997</v>
      </c>
    </row>
    <row r="37" spans="1:35" x14ac:dyDescent="0.2">
      <c r="B37" s="4">
        <v>1.1879999999999999</v>
      </c>
      <c r="C37" s="4">
        <v>338.976</v>
      </c>
      <c r="D37" s="4">
        <v>1.206</v>
      </c>
      <c r="E37" s="4">
        <v>806.10799999999995</v>
      </c>
      <c r="F37" s="4">
        <v>1.2450000000000001</v>
      </c>
      <c r="G37" s="4">
        <v>492.53300000000002</v>
      </c>
      <c r="I37" s="4">
        <v>1.2310000000000001</v>
      </c>
      <c r="J37" s="4">
        <v>746.38</v>
      </c>
      <c r="K37" s="4">
        <v>1.288</v>
      </c>
      <c r="L37" s="4">
        <v>282.93299999999999</v>
      </c>
      <c r="M37" s="4">
        <v>1.3169999999999999</v>
      </c>
      <c r="N37" s="4">
        <v>601.25800000000004</v>
      </c>
      <c r="P37" s="4">
        <v>1.4239999999999999</v>
      </c>
      <c r="Q37" s="4">
        <v>516.404</v>
      </c>
      <c r="R37" s="4">
        <v>1.45</v>
      </c>
      <c r="S37" s="4">
        <v>331.56799999999998</v>
      </c>
      <c r="T37" s="5">
        <v>1.47</v>
      </c>
      <c r="U37" s="4">
        <v>333.43099999999998</v>
      </c>
      <c r="V37" s="6"/>
      <c r="W37" s="4">
        <v>1.8320000000000001</v>
      </c>
      <c r="X37" s="7">
        <v>1020.9349999999999</v>
      </c>
      <c r="Y37" s="4">
        <v>1.865</v>
      </c>
      <c r="Z37" s="4">
        <v>810.90300000000002</v>
      </c>
      <c r="AA37" s="4">
        <v>1.9510000000000001</v>
      </c>
      <c r="AB37" s="4">
        <v>801.53800000000001</v>
      </c>
      <c r="AD37" s="4">
        <v>1.3979999999999999</v>
      </c>
      <c r="AE37" s="4">
        <v>843.61</v>
      </c>
      <c r="AF37" s="4">
        <v>1.4119999999999999</v>
      </c>
      <c r="AG37" s="4">
        <v>548.13</v>
      </c>
      <c r="AH37" s="4">
        <v>1.488</v>
      </c>
      <c r="AI37" s="4">
        <v>825.26800000000003</v>
      </c>
    </row>
    <row r="38" spans="1:35" x14ac:dyDescent="0.2">
      <c r="B38" s="4">
        <v>1.19</v>
      </c>
      <c r="C38" s="4">
        <v>230.46299999999999</v>
      </c>
      <c r="D38" s="4">
        <v>1.208</v>
      </c>
      <c r="E38" s="4">
        <v>170.94499999999999</v>
      </c>
      <c r="F38" s="4">
        <v>1.2470000000000001</v>
      </c>
      <c r="G38" s="4">
        <v>407.68900000000002</v>
      </c>
      <c r="I38" s="4">
        <v>1.236</v>
      </c>
      <c r="J38" s="4">
        <v>335.95600000000002</v>
      </c>
      <c r="K38" s="4">
        <v>1.2869999999999999</v>
      </c>
      <c r="L38" s="4">
        <v>595.48900000000003</v>
      </c>
      <c r="M38" s="4">
        <v>1.3180000000000001</v>
      </c>
      <c r="N38" s="4">
        <v>625.47</v>
      </c>
      <c r="P38" s="4">
        <v>1.4259999999999999</v>
      </c>
      <c r="Q38" s="4">
        <v>464.51</v>
      </c>
      <c r="R38" s="4">
        <v>1.4470000000000001</v>
      </c>
      <c r="S38" s="4">
        <v>311.61500000000001</v>
      </c>
      <c r="T38" s="5">
        <v>1.47</v>
      </c>
      <c r="U38" s="4">
        <v>562.64400000000001</v>
      </c>
      <c r="V38" s="6"/>
      <c r="W38" s="4">
        <v>1.8360000000000001</v>
      </c>
      <c r="X38" s="7">
        <v>1168.126</v>
      </c>
      <c r="Y38" s="4">
        <v>1.8680000000000001</v>
      </c>
      <c r="Z38" s="4">
        <v>765.39</v>
      </c>
      <c r="AA38" s="4">
        <v>1.9550000000000001</v>
      </c>
      <c r="AB38" s="4">
        <v>570.96400000000006</v>
      </c>
      <c r="AD38" s="4">
        <v>1.399</v>
      </c>
      <c r="AE38" s="4">
        <v>816.58100000000002</v>
      </c>
      <c r="AF38" s="4">
        <v>1.411</v>
      </c>
      <c r="AG38" s="4">
        <v>607.29</v>
      </c>
      <c r="AH38" s="4">
        <v>1.4910000000000001</v>
      </c>
      <c r="AI38" s="4">
        <v>641.68600000000004</v>
      </c>
    </row>
    <row r="39" spans="1:35" x14ac:dyDescent="0.2">
      <c r="B39" s="4">
        <v>1.19</v>
      </c>
      <c r="C39" s="4">
        <v>35.796999999999997</v>
      </c>
      <c r="D39" s="4">
        <v>1.208</v>
      </c>
      <c r="E39" s="4">
        <v>457.185</v>
      </c>
      <c r="F39" s="4">
        <v>1.248</v>
      </c>
      <c r="G39" s="4">
        <v>517.94100000000003</v>
      </c>
      <c r="I39" s="4">
        <v>1.2350000000000001</v>
      </c>
      <c r="J39" s="4">
        <v>705.46100000000001</v>
      </c>
      <c r="K39" s="4">
        <v>1.2869999999999999</v>
      </c>
      <c r="L39" s="4">
        <v>618.88499999999999</v>
      </c>
      <c r="M39" s="4">
        <v>1.3180000000000001</v>
      </c>
      <c r="N39" s="4">
        <v>481.89299999999997</v>
      </c>
      <c r="P39" s="4">
        <v>1.4279999999999999</v>
      </c>
      <c r="Q39" s="4">
        <v>219.22200000000001</v>
      </c>
      <c r="R39" s="4">
        <v>1.448</v>
      </c>
      <c r="S39" s="4">
        <v>412.37299999999999</v>
      </c>
      <c r="T39" s="5">
        <v>1.4670000000000001</v>
      </c>
      <c r="U39" s="4">
        <v>645.78</v>
      </c>
      <c r="V39" s="6"/>
      <c r="W39" s="4">
        <v>1.839</v>
      </c>
      <c r="X39" s="7">
        <v>973.79399999999998</v>
      </c>
      <c r="Y39" s="4">
        <v>1.8680000000000001</v>
      </c>
      <c r="Z39" s="4">
        <v>812.93799999999999</v>
      </c>
      <c r="AA39" s="4">
        <v>1.952</v>
      </c>
      <c r="AB39" s="4">
        <v>749.32299999999998</v>
      </c>
      <c r="AD39" s="4">
        <v>1.3959999999999999</v>
      </c>
      <c r="AE39" s="4">
        <v>962.79399999999998</v>
      </c>
      <c r="AF39" s="4">
        <v>1.4119999999999999</v>
      </c>
      <c r="AG39" s="4">
        <v>579.95899999999995</v>
      </c>
      <c r="AH39" s="4">
        <v>1.496</v>
      </c>
      <c r="AI39" s="4">
        <v>240.304</v>
      </c>
    </row>
    <row r="40" spans="1:35" x14ac:dyDescent="0.2">
      <c r="B40" s="4">
        <v>1.1890000000000001</v>
      </c>
      <c r="C40" s="4">
        <v>280.58600000000001</v>
      </c>
      <c r="D40" s="4">
        <v>1.208</v>
      </c>
      <c r="E40" s="4">
        <v>462.01100000000002</v>
      </c>
      <c r="F40" s="4">
        <v>1.25</v>
      </c>
      <c r="G40" s="4">
        <v>563.673</v>
      </c>
    </row>
    <row r="41" spans="1:35" x14ac:dyDescent="0.2">
      <c r="B41" s="4">
        <v>1.19</v>
      </c>
      <c r="C41" s="4">
        <v>334.41199999999998</v>
      </c>
      <c r="D41" s="4">
        <v>1.21</v>
      </c>
      <c r="E41" s="4">
        <v>332.93299999999999</v>
      </c>
      <c r="F41" s="4">
        <v>1.2549999999999999</v>
      </c>
      <c r="G41" s="4">
        <v>200.84299999999999</v>
      </c>
    </row>
    <row r="42" spans="1:35" x14ac:dyDescent="0.2">
      <c r="D42" s="4">
        <v>1.21</v>
      </c>
      <c r="E42" s="4">
        <v>293.61</v>
      </c>
    </row>
    <row r="44" spans="1:35" x14ac:dyDescent="0.2">
      <c r="A44" s="3" t="s">
        <v>30</v>
      </c>
      <c r="B44" s="3">
        <f t="shared" ref="B44:G44" ca="1" si="0">_xlfn.STDEV.S(B4:B54)</f>
        <v>2.1192019888866865E-2</v>
      </c>
      <c r="C44" s="3">
        <f t="shared" ca="1" si="0"/>
        <v>170.55696812370482</v>
      </c>
      <c r="D44" s="3">
        <f t="shared" ca="1" si="0"/>
        <v>5.1958926994953563E-3</v>
      </c>
      <c r="E44" s="3">
        <f t="shared" ca="1" si="0"/>
        <v>199.29849237819155</v>
      </c>
      <c r="F44" s="3">
        <f t="shared" ca="1" si="0"/>
        <v>2.2397943031952493E-2</v>
      </c>
      <c r="G44" s="3">
        <f t="shared" ca="1" si="0"/>
        <v>113.54963713453968</v>
      </c>
      <c r="I44" s="3">
        <v>2.7463612289718935E-2</v>
      </c>
      <c r="J44" s="3">
        <v>184.18998430331146</v>
      </c>
      <c r="K44" s="3">
        <v>1.1468659848916913E-2</v>
      </c>
      <c r="L44" s="3">
        <v>119.71798527782019</v>
      </c>
      <c r="M44" s="3">
        <v>6.3605929642717111E-3</v>
      </c>
      <c r="N44" s="3">
        <v>119.10144500597313</v>
      </c>
      <c r="P44" s="3">
        <f t="shared" ref="P44:U44" ca="1" si="1">_xlfn.STDEV.S(P4:P48)</f>
        <v>6.0308071533282147E-3</v>
      </c>
      <c r="Q44" s="3">
        <f t="shared" ca="1" si="1"/>
        <v>108.12016430341208</v>
      </c>
      <c r="R44" s="3">
        <f t="shared" ca="1" si="1"/>
        <v>5.1359300791363974E-3</v>
      </c>
      <c r="S44" s="3">
        <f t="shared" ca="1" si="1"/>
        <v>113.20841829474006</v>
      </c>
      <c r="T44" s="3">
        <f t="shared" ca="1" si="1"/>
        <v>5.5824981607059806E-3</v>
      </c>
      <c r="U44" s="3">
        <f t="shared" ca="1" si="1"/>
        <v>125.38510850732145</v>
      </c>
      <c r="W44" s="3">
        <f t="shared" ref="W44:AB44" si="2">_xlfn.STDEV.S(W4:W39)</f>
        <v>8.5666388734031412E-3</v>
      </c>
      <c r="X44" s="3">
        <f t="shared" si="2"/>
        <v>122.49937469432913</v>
      </c>
      <c r="Y44" s="3">
        <f t="shared" si="2"/>
        <v>8.1409702631441358E-3</v>
      </c>
      <c r="Z44" s="3">
        <f t="shared" si="2"/>
        <v>118.38477497501736</v>
      </c>
      <c r="AA44" s="3">
        <f t="shared" si="2"/>
        <v>8.6553039065237741E-3</v>
      </c>
      <c r="AB44" s="3">
        <f t="shared" si="2"/>
        <v>100.22610979622732</v>
      </c>
      <c r="AD44" s="3">
        <f t="shared" ref="AD44:AI44" si="3">_xlfn.STDEV.S(AD4:AD42)</f>
        <v>2.5911938781738621E-3</v>
      </c>
      <c r="AE44" s="3">
        <f t="shared" si="3"/>
        <v>129.87244291288675</v>
      </c>
      <c r="AF44" s="3">
        <f t="shared" si="3"/>
        <v>9.1394835045618961E-3</v>
      </c>
      <c r="AG44" s="3">
        <f t="shared" si="3"/>
        <v>136.69420602800085</v>
      </c>
      <c r="AH44" s="3">
        <f t="shared" si="3"/>
        <v>1.4854506023639745E-2</v>
      </c>
      <c r="AI44" s="3">
        <f t="shared" si="3"/>
        <v>168.08618663036893</v>
      </c>
    </row>
    <row r="45" spans="1:35" x14ac:dyDescent="0.2">
      <c r="A45" s="3" t="s">
        <v>31</v>
      </c>
      <c r="B45" s="3">
        <f t="shared" ref="B45:G45" ca="1" si="4">AVERAGE(B4:B54)</f>
        <v>1.2140789473684213</v>
      </c>
      <c r="C45" s="3">
        <f t="shared" ca="1" si="4"/>
        <v>334.26073684210525</v>
      </c>
      <c r="D45" s="3">
        <f t="shared" ca="1" si="4"/>
        <v>1.2012820512820515</v>
      </c>
      <c r="E45" s="3">
        <f t="shared" ca="1" si="4"/>
        <v>464.22212820512812</v>
      </c>
      <c r="F45" s="3">
        <f t="shared" ca="1" si="4"/>
        <v>1.2158157894736845</v>
      </c>
      <c r="G45" s="3">
        <f t="shared" ca="1" si="4"/>
        <v>498.75742105263146</v>
      </c>
      <c r="I45" s="3">
        <v>1.1994166666666659</v>
      </c>
      <c r="J45" s="3">
        <v>478.58905555555543</v>
      </c>
      <c r="K45" s="3">
        <v>1.2701111111111107</v>
      </c>
      <c r="L45" s="3">
        <v>561.99813888888866</v>
      </c>
      <c r="M45" s="3">
        <v>1.3086666666666669</v>
      </c>
      <c r="N45" s="3">
        <v>600.45105555555574</v>
      </c>
      <c r="P45" s="3">
        <f t="shared" ref="P45:U45" ca="1" si="5">AVERAGE(P4:P48)</f>
        <v>1.4169722222222219</v>
      </c>
      <c r="Q45" s="3">
        <f t="shared" ca="1" si="5"/>
        <v>379.94644444444447</v>
      </c>
      <c r="R45" s="3">
        <f t="shared" ca="1" si="5"/>
        <v>1.4417222222222223</v>
      </c>
      <c r="S45" s="3">
        <f t="shared" ca="1" si="5"/>
        <v>316.88005555555554</v>
      </c>
      <c r="T45" s="3">
        <f t="shared" ca="1" si="5"/>
        <v>1.461416666666667</v>
      </c>
      <c r="U45" s="3">
        <f t="shared" ca="1" si="5"/>
        <v>494.23925000000003</v>
      </c>
      <c r="W45" s="3">
        <f t="shared" ref="W45:AB45" si="6">AVERAGE(W4:W39)</f>
        <v>1.8183888888888891</v>
      </c>
      <c r="X45" s="3">
        <f t="shared" si="6"/>
        <v>1101.7978888888888</v>
      </c>
      <c r="Y45" s="3">
        <f t="shared" si="6"/>
        <v>1.8538055555555555</v>
      </c>
      <c r="Z45" s="3">
        <f t="shared" si="6"/>
        <v>932.56500000000005</v>
      </c>
      <c r="AA45" s="3">
        <f t="shared" si="6"/>
        <v>1.9386666666666663</v>
      </c>
      <c r="AB45" s="3">
        <f t="shared" si="6"/>
        <v>798.8128333333334</v>
      </c>
      <c r="AD45" s="3">
        <f t="shared" ref="AD45:AI45" si="7">AVERAGE(AD4:AD42)</f>
        <v>1.3935000000000004</v>
      </c>
      <c r="AE45" s="3">
        <f t="shared" si="7"/>
        <v>881.22169444444444</v>
      </c>
      <c r="AF45" s="3">
        <f t="shared" si="7"/>
        <v>1.3961111111111109</v>
      </c>
      <c r="AG45" s="3">
        <f t="shared" si="7"/>
        <v>581.96244444444437</v>
      </c>
      <c r="AH45" s="3">
        <f t="shared" si="7"/>
        <v>1.4664722222222224</v>
      </c>
      <c r="AI45" s="3">
        <f t="shared" si="7"/>
        <v>786.65105555555567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</vt:lpstr>
      <vt:lpstr>Leaf</vt:lpstr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楷茗 许</cp:lastModifiedBy>
  <dcterms:created xsi:type="dcterms:W3CDTF">2015-06-05T18:19:34Z</dcterms:created>
  <dcterms:modified xsi:type="dcterms:W3CDTF">2025-11-06T13:33:16Z</dcterms:modified>
</cp:coreProperties>
</file>